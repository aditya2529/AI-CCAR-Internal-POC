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rojects\AI CCAR POC (Internal)\docs\"/>
    </mc:Choice>
  </mc:AlternateContent>
  <xr:revisionPtr revIDLastSave="0" documentId="13_ncr:1_{4C497B86-E8DC-46BB-B4FD-9E935E124294}" xr6:coauthVersionLast="47" xr6:coauthVersionMax="47" xr10:uidLastSave="{00000000-0000-0000-0000-000000000000}"/>
  <bookViews>
    <workbookView xWindow="4800" yWindow="2730" windowWidth="14400" windowHeight="7350" xr2:uid="{00000000-000D-0000-FFFF-FFFF00000000}"/>
  </bookViews>
  <sheets>
    <sheet name="Index" sheetId="1" r:id="rId1"/>
    <sheet name="Requirements" sheetId="2" r:id="rId2"/>
    <sheet name="User Stories" sheetId="3" r:id="rId3"/>
    <sheet name="Test Scenarios" sheetId="4" r:id="rId4"/>
    <sheet name="Tables Overview" sheetId="5" r:id="rId5"/>
    <sheet name="Data Dictionary" sheetId="6" r:id="rId6"/>
    <sheet name="Mapping (M01-M16)" sheetId="7" r:id="rId7"/>
    <sheet name="Code Map" sheetId="8" r:id="rId8"/>
    <sheet name="Seeded Defects" sheetId="9" r:id="rId9"/>
    <sheet name="DQ Dimensions" sheetId="10" r:id="rId10"/>
    <sheet name="DQ Rules" sheetId="11" r:id="rId11"/>
    <sheet name="DQ Exception Workflow" sheetId="12" r:id="rId12"/>
    <sheet name="Recon Checks" sheetId="13" r:id="rId13"/>
    <sheet name="Recon Bridge" sheetId="14" r:id="rId14"/>
    <sheet name="Controls" sheetId="15" r:id="rId15"/>
    <sheet name="Scenarios" sheetId="16" r:id="rId16"/>
    <sheet name="Parameters" sheetId="17" r:id="rId17"/>
    <sheet name="Worked Examples" sheetId="18" r:id="rId18"/>
    <sheet name="Report R1 Fields" sheetId="19" r:id="rId19"/>
    <sheet name="Report R2 Lines" sheetId="20" r:id="rId20"/>
    <sheet name="Edit Checks" sheetId="21" r:id="rId21"/>
    <sheet name="Report Recon Rules" sheetId="22" r:id="rId22"/>
    <sheet name="Data - Customer" sheetId="23" r:id="rId23"/>
    <sheet name="Data - Loan" sheetId="24" r:id="rId24"/>
    <sheet name="Data - Balance" sheetId="25" r:id="rId25"/>
    <sheet name="Data - Status" sheetId="26" r:id="rId26"/>
    <sheet name="Data - Collateral" sheetId="27" r:id="rId27"/>
    <sheet name="Data - GL Control" sheetId="28" r:id="rId28"/>
    <sheet name="Expected Results" sheetId="29" r:id="rId29"/>
    <sheet name="Expected Summary" sheetId="30" r:id="rId30"/>
  </sheets>
  <definedNames>
    <definedName name="_xlnm._FilterDatabase" localSheetId="7" hidden="1">'Code Map'!$A$1:$C$9</definedName>
    <definedName name="_xlnm._FilterDatabase" localSheetId="14" hidden="1">Controls!$A$1:$F$13</definedName>
    <definedName name="_xlnm._FilterDatabase" localSheetId="24" hidden="1">'Data - Balance'!$A$3:$E$44</definedName>
    <definedName name="_xlnm._FilterDatabase" localSheetId="26" hidden="1">'Data - Collateral'!$A$3:$E$27</definedName>
    <definedName name="_xlnm._FilterDatabase" localSheetId="22" hidden="1">'Data - Customer'!$A$3:$F$28</definedName>
    <definedName name="_xlnm._FilterDatabase" localSheetId="27" hidden="1">'Data - GL Control'!$A$3:$C$5</definedName>
    <definedName name="_xlnm._FilterDatabase" localSheetId="23" hidden="1">'Data - Loan'!$A$3:$I$43</definedName>
    <definedName name="_xlnm._FilterDatabase" localSheetId="25" hidden="1">'Data - Status'!$A$3:$E$54</definedName>
    <definedName name="_xlnm._FilterDatabase" localSheetId="5" hidden="1">'Data Dictionary'!$A$1:$E$75</definedName>
    <definedName name="_xlnm._FilterDatabase" localSheetId="9" hidden="1">'DQ Dimensions'!$A$1:$C$11</definedName>
    <definedName name="_xlnm._FilterDatabase" localSheetId="11" hidden="1">'DQ Exception Workflow'!$A$1:$D$7</definedName>
    <definedName name="_xlnm._FilterDatabase" localSheetId="10" hidden="1">'DQ Rules'!$A$1:$G$16</definedName>
    <definedName name="_xlnm._FilterDatabase" localSheetId="20" hidden="1">'Edit Checks'!$A$1:$D$12</definedName>
    <definedName name="_xlnm._FilterDatabase" localSheetId="28" hidden="1">'Expected Results'!$A$3:$Q$123</definedName>
    <definedName name="_xlnm._FilterDatabase" localSheetId="6" hidden="1">'Mapping (M01-M16)'!$A$1:$G$17</definedName>
    <definedName name="_xlnm._FilterDatabase" localSheetId="16" hidden="1">Parameters!$A$1:$C$12</definedName>
    <definedName name="_xlnm._FilterDatabase" localSheetId="13" hidden="1">'Recon Bridge'!$A$1:$D$9</definedName>
    <definedName name="_xlnm._FilterDatabase" localSheetId="12" hidden="1">'Recon Checks'!$A$1:$E$9</definedName>
    <definedName name="_xlnm._FilterDatabase" localSheetId="18" hidden="1">'Report R1 Fields'!$A$1:$C$17</definedName>
    <definedName name="_xlnm._FilterDatabase" localSheetId="19" hidden="1">'Report R2 Lines'!$A$1:$C$14</definedName>
    <definedName name="_xlnm._FilterDatabase" localSheetId="21" hidden="1">'Report Recon Rules'!$A$1:$C$6</definedName>
    <definedName name="_xlnm._FilterDatabase" localSheetId="1" hidden="1">Requirements!$A$1:$F$20</definedName>
    <definedName name="_xlnm._FilterDatabase" localSheetId="15" hidden="1">Scenarios!$A$1:$E$9</definedName>
    <definedName name="_xlnm._FilterDatabase" localSheetId="8" hidden="1">'Seeded Defects'!$A$1:$H$13</definedName>
    <definedName name="_xlnm._FilterDatabase" localSheetId="4" hidden="1">'Tables Overview'!$A$1:$D$16</definedName>
    <definedName name="_xlnm._FilterDatabase" localSheetId="3" hidden="1">'Test Scenarios'!$A$3:$F$34</definedName>
    <definedName name="_xlnm._FilterDatabase" localSheetId="2" hidden="1">'User Stories'!$A$1:$K$17</definedName>
    <definedName name="_xlnm._FilterDatabase" localSheetId="17" hidden="1">'Worked Examples'!$A$1:$I$5</definedName>
  </definedNames>
  <calcPr calcId="191029"/>
</workbook>
</file>

<file path=xl/calcChain.xml><?xml version="1.0" encoding="utf-8"?>
<calcChain xmlns="http://schemas.openxmlformats.org/spreadsheetml/2006/main">
  <c r="D11" i="30" l="1"/>
  <c r="C11" i="30"/>
  <c r="B11" i="30"/>
  <c r="D8" i="30"/>
  <c r="C8" i="30"/>
  <c r="B8" i="30"/>
  <c r="D7" i="30"/>
  <c r="C7" i="30"/>
  <c r="B7" i="30"/>
  <c r="D6" i="30"/>
  <c r="C6" i="30"/>
  <c r="B6" i="30"/>
  <c r="D5" i="30"/>
  <c r="C5" i="30"/>
  <c r="B5" i="30"/>
  <c r="D4" i="30"/>
  <c r="C4" i="30"/>
  <c r="B4" i="30"/>
  <c r="B9" i="30" l="1"/>
  <c r="C9" i="30"/>
  <c r="D9" i="30"/>
</calcChain>
</file>

<file path=xl/sharedStrings.xml><?xml version="1.0" encoding="utf-8"?>
<sst xmlns="http://schemas.openxmlformats.org/spreadsheetml/2006/main" count="3248" uniqueCount="1575">
  <si>
    <t>StressLens CCAR POC: Reference Workbook</t>
  </si>
  <si>
    <t>Companion to the PRD. All data is synthetic; the bank (Iris Demo Bancorp) is fictional. Reports are styled on FR Y-14 and are not regulatory submissions.</t>
  </si>
  <si>
    <t>Clean (curated) input files for squads B, C and D are in the repo folder data/curated/. Raw files with defects are in data/landing/.</t>
  </si>
  <si>
    <t>PLAN</t>
  </si>
  <si>
    <t>Requirements</t>
  </si>
  <si>
    <t>19 business requirements with priority and acceptance criteria</t>
  </si>
  <si>
    <t>User Stories</t>
  </si>
  <si>
    <t>16 stories by squad: acceptance criteria, dependencies, Gherkin scenarios</t>
  </si>
  <si>
    <t>Test Scenarios</t>
  </si>
  <si>
    <t>Every Gherkin scenario as a test checklist (QA fills in results)</t>
  </si>
  <si>
    <t>DATA MODEL AND MAPPING</t>
  </si>
  <si>
    <t>Tables Overview</t>
  </si>
  <si>
    <t>All tables with keys</t>
  </si>
  <si>
    <t>Data Dictionary</t>
  </si>
  <si>
    <t>Every field: description, type, example</t>
  </si>
  <si>
    <t>Mapping (M01-M16)</t>
  </si>
  <si>
    <t>Source-to-target mapping rules</t>
  </si>
  <si>
    <t>Code Map</t>
  </si>
  <si>
    <t>Product, status and collateral code mappings</t>
  </si>
  <si>
    <t>DATA QUALITY AND RECONCILIATION</t>
  </si>
  <si>
    <t>Seeded Defects</t>
  </si>
  <si>
    <t>The 12 planted data problems and how to find and fix each</t>
  </si>
  <si>
    <t>DQ Dimensions</t>
  </si>
  <si>
    <t>Completeness, accuracy, validity, uniqueness, integrity</t>
  </si>
  <si>
    <t>DQ Rules</t>
  </si>
  <si>
    <t>15 rules with expected exceptions on the raw data</t>
  </si>
  <si>
    <t>DQ Exception Workflow</t>
  </si>
  <si>
    <t>How an exception moves from open to closed</t>
  </si>
  <si>
    <t>Recon Checks</t>
  </si>
  <si>
    <t>8 reconciliation checks with expected results</t>
  </si>
  <si>
    <t>Recon Bridge</t>
  </si>
  <si>
    <t>Source file to curated to GL balance bridge</t>
  </si>
  <si>
    <t>Controls</t>
  </si>
  <si>
    <t>12 key controls and their evidence</t>
  </si>
  <si>
    <t>CALCULATIONS AND REPORTING</t>
  </si>
  <si>
    <t>Scenarios</t>
  </si>
  <si>
    <t>Baseline, Moderate, Severe variables</t>
  </si>
  <si>
    <t>Parameters</t>
  </si>
  <si>
    <t>PD, LGD, CCF, risk-weight and other parameters</t>
  </si>
  <si>
    <t>Worked Examples</t>
  </si>
  <si>
    <t>Hand-checkable loan calculations</t>
  </si>
  <si>
    <t>Report R1 Fields</t>
  </si>
  <si>
    <t>Y-14Q-style loan extract fields</t>
  </si>
  <si>
    <t>Report R2 Lines</t>
  </si>
  <si>
    <t>Y-14A-style capital summary lines</t>
  </si>
  <si>
    <t>Edit Checks</t>
  </si>
  <si>
    <t>Report validation rules</t>
  </si>
  <si>
    <t>Report Recon Rules</t>
  </si>
  <si>
    <t>Report-level reconciliations</t>
  </si>
  <si>
    <t>SAMPLE DATA AND ANSWER KEY</t>
  </si>
  <si>
    <t>Data - Customer</t>
  </si>
  <si>
    <t>Raw customer file</t>
  </si>
  <si>
    <t>Data - Loan</t>
  </si>
  <si>
    <t>Raw loan file</t>
  </si>
  <si>
    <t>Data - Balance</t>
  </si>
  <si>
    <t>Raw balance file</t>
  </si>
  <si>
    <t>Data - Status</t>
  </si>
  <si>
    <t>Raw status history</t>
  </si>
  <si>
    <t>Data - Collateral</t>
  </si>
  <si>
    <t>Raw collateral file</t>
  </si>
  <si>
    <t>Data - GL Control</t>
  </si>
  <si>
    <t>GL control totals</t>
  </si>
  <si>
    <t>Expected Results</t>
  </si>
  <si>
    <t>120-row QA answer key</t>
  </si>
  <si>
    <t>Expected Summary</t>
  </si>
  <si>
    <t>Portfolio totals by scenario (live formulas)</t>
  </si>
  <si>
    <t>ID</t>
  </si>
  <si>
    <t>Requirement</t>
  </si>
  <si>
    <t>Business rationale</t>
  </si>
  <si>
    <t>Priority</t>
  </si>
  <si>
    <t>Acceptance criteria</t>
  </si>
  <si>
    <t>Dependencies</t>
  </si>
  <si>
    <t>BR-001</t>
  </si>
  <si>
    <t>Load the 5 source files and the GL control file for a given as-of date into staging, tagging every row with a batch ID and load timestamp</t>
  </si>
  <si>
    <t>CCAR numbers must be traceable to a specific source delivery</t>
  </si>
  <si>
    <t>Must</t>
  </si>
  <si>
    <t>All 6 files load; staged row count = file row count; missing file stops the run with a clear message; load logged in audit_log</t>
  </si>
  <si>
    <t>None</t>
  </si>
  <si>
    <t>BR-002</t>
  </si>
  <si>
    <t>Maintain source-to-standard code mappings (product, status, collateral, NAICS sector) in a versioned reference table; changes need checker approval</t>
  </si>
  <si>
    <t>Wrong mappings put loans on the wrong schedule (D09); mappings must be governed like data</t>
  </si>
  <si>
    <t>Mapping change creates a new version; unapproved mapping is not used; history visible</t>
  </si>
  <si>
    <t>BR-015</t>
  </si>
  <si>
    <t>BR-003</t>
  </si>
  <si>
    <t>Transform staging into curated tables per mappings M01–M16</t>
  </si>
  <si>
    <t>Downstream calculations need clean, typed, standardized data</t>
  </si>
  <si>
    <t>All 16 mappings implemented; no row dropped silently — every excluded row has an exception record</t>
  </si>
  <si>
    <t>BR-001, BR-002</t>
  </si>
  <si>
    <t>BR-004</t>
  </si>
  <si>
    <t>Determine each loan's current status as the latest record on or before the as-of date; ties broken by latest load timestamp</t>
  </si>
  <si>
    <t>Status drives PD and risk weight; the wrong row changes capital</t>
  </si>
  <si>
    <t>LN1030 = DPD90; LN1015 = CURRENT; exactly one current status per loan</t>
  </si>
  <si>
    <t>BR-005</t>
  </si>
  <si>
    <t>Run a configurable library of 15 DQ rules (completeness, validity, uniqueness, accuracy, referential integrity, timeliness), each with a severity</t>
  </si>
  <si>
    <t>Regulators expect documented, repeatable data controls</t>
  </si>
  <si>
    <t>All 12 seeded defects detected; each exception stores rule ID, record key, field, value, severity, run ID; rules added via a table row, no code change</t>
  </si>
  <si>
    <t>BR-006</t>
  </si>
  <si>
    <t>Block calculation while any Critical exception is open; allow a checker to override or accept a fix with a mandatory reason</t>
  </si>
  <si>
    <t>Stops bad data reaching capital numbers while keeping the process moving</t>
  </si>
  <si>
    <t>Calculation button disabled with open criticals; override needs checker ≠ maker and reason text; override logged</t>
  </si>
  <si>
    <t>BR-005, BR-014</t>
  </si>
  <si>
    <t>BR-007</t>
  </si>
  <si>
    <t>Store stress scenarios and risk parameters as versioned reference data; only ACTIVE, approved versions can be used</t>
  </si>
  <si>
    <t>Results must be reproducible and parameter changes controlled</t>
  </si>
  <si>
    <t>3 scenarios and parameter set v1 loaded; run records versions used; editing ACTIVE creates a new DRAFT</t>
  </si>
  <si>
    <t>BR-008</t>
  </si>
  <si>
    <t>Calculate PD, LGD, EAD and 9-quarter stress loss per loan per scenario using Section 9 formulas</t>
  </si>
  <si>
    <t>Core CCAR credit-loss output</t>
  </si>
  <si>
    <t>Results match the QA expected-results file within $1 per loan (120 rows); PD, LGD ∈ [0,1]; loss ≤ EAD</t>
  </si>
  <si>
    <t>BR-004, BR-006, BR-007</t>
  </si>
  <si>
    <t>BR-009</t>
  </si>
  <si>
    <t>Calculate risk weight and RWA per loan, and total RWA including other RWA</t>
  </si>
  <si>
    <t>CET1 ratio needs a denominator</t>
  </si>
  <si>
    <t>Loan RWA = $323,637,500; total RWA = $503,637,500</t>
  </si>
  <si>
    <t>BR-010</t>
  </si>
  <si>
    <t>Project 9-quarter PPNR, net income, ending CET1, CET1 ratio and illustrative SCB per scenario</t>
  </si>
  <si>
    <t>Shows the capital consequence of the scenario, the point of CCAR</t>
  </si>
  <si>
    <t>Values match Section 9.10 within $1 / 0.01%; each value shows its formula on hover</t>
  </si>
  <si>
    <t>BR-008, BR-009</t>
  </si>
  <si>
    <t>BR-011</t>
  </si>
  <si>
    <t>Aggregate results by scenario, portfolio, product and rating grade</t>
  </si>
  <si>
    <t>Reviewers and management look at portfolios, not loans</t>
  </si>
  <si>
    <t>Totals equal the sum of loan results; drill-down from aggregate to loans works</t>
  </si>
  <si>
    <t>BR-012</t>
  </si>
  <si>
    <t>Reconcile counts and balances between source, staging, curated, report and GL; record breaks with commentary</t>
  </si>
  <si>
    <t>Unreconciled numbers cannot be approved</t>
  </si>
  <si>
    <t>Recon bridge from $279.7M (file) to $286.6M (curated) to $289.0M (GL) produced; every break &gt; tolerance has a comment before review</t>
  </si>
  <si>
    <t>BR-003, BR-013</t>
  </si>
  <si>
    <t>BR-013</t>
  </si>
  <si>
    <t>Generate R1 (Y-14Q-style) and R2 (Y-14A-style) reports, run edit checks E01–E11, export CSV and Excel</t>
  </si>
  <si>
    <t>The deliverable that reviewers approve</t>
  </si>
  <si>
    <t>Reports generated per Section 11; Error-level edit failures block submission for review; export matches on-screen values</t>
  </si>
  <si>
    <t>BR-010, BR-011</t>
  </si>
  <si>
    <t>BR-014</t>
  </si>
  <si>
    <t>Enforce maker-checker approval: DRAFT → IN_REVIEW → APPROVED/REJECTED, final Controller sign-off for R2</t>
  </si>
  <si>
    <t>Segregation of duties is a basic regulatory-reporting control</t>
  </si>
  <si>
    <t>Same user cannot prepare and approve; approved reports locked; rejection requires comment and creates a new version on regeneration</t>
  </si>
  <si>
    <t>Keep an append-only audit trail of loads, rule runs, overrides, mapping changes, calculations, approvals and exports</t>
  </si>
  <si>
    <t>Examiners and internal audit need to reconstruct what happened</t>
  </si>
  <si>
    <t>Each event logged with user, timestamp, run ID, action, before/after values; no UPDATE/DELETE allowed on audit_log</t>
  </si>
  <si>
    <t>BR-016</t>
  </si>
  <si>
    <t>Show field-level lineage from any report value back to the source file row</t>
  </si>
  <si>
    <t>Proves data provenance, a core CCAR governance theme</t>
  </si>
  <si>
    <t>Should</t>
  </si>
  <si>
    <t>Selecting a report cell shows source file, row key, transformations, DQ rules applied</t>
  </si>
  <si>
    <t>BR-017</t>
  </si>
  <si>
    <t>Provide a scenario comparison dashboard (loss by product, CET1 path by scenario)</t>
  </si>
  <si>
    <t>Management demo impact; helps reviewers spot outliers</t>
  </si>
  <si>
    <t>Dashboard shows 3 scenarios side by side, values tie to R2</t>
  </si>
  <si>
    <t>BR-018</t>
  </si>
  <si>
    <t>Run the full pipeline end to end with one command or button</t>
  </si>
  <si>
    <t>Repeatability and demo reliability</t>
  </si>
  <si>
    <t>run_pipeline.py --asof 2026-06-30 completes in &lt; 5 minutes on a laptop</t>
  </si>
  <si>
    <t>BR-001–BR-013</t>
  </si>
  <si>
    <t>BR-019</t>
  </si>
  <si>
    <t>Publish the same results in a Power BI report</t>
  </si>
  <si>
    <t>Familiar tool for many bank stakeholders</t>
  </si>
  <si>
    <t>Could</t>
  </si>
  <si>
    <t>Power BI reads report tables directly</t>
  </si>
  <si>
    <t>Story</t>
  </si>
  <si>
    <t>Title</t>
  </si>
  <si>
    <t>Epic</t>
  </si>
  <si>
    <t>BR</t>
  </si>
  <si>
    <t>Points</t>
  </si>
  <si>
    <t>Squad</t>
  </si>
  <si>
    <t>User story</t>
  </si>
  <si>
    <t>Gherkin scenarios</t>
  </si>
  <si>
    <t>US-01</t>
  </si>
  <si>
    <t>Load source files to staging</t>
  </si>
  <si>
    <t>E1 Ingestion</t>
  </si>
  <si>
    <t>A Data Foundation</t>
  </si>
  <si>
    <t>As a Data Analyst I want the quarter-end source files loaded into staging with a batch ID so that every number can be traced to a specific source delivery.</t>
  </si>
  <si>
    <t>6 files loaded from /landing/&lt;as-of&gt;/; row counts reconciled file vs table; missing or empty file stops the run; load logged.</t>
  </si>
  <si>
    <t>environment set-up</t>
  </si>
  <si>
    <t>Scenario: All files present
  Given the six source files for 2026-06-30 are in the landing folder
  When the ingestion job runs
  Then each stg table row count equals its file row count
  And loansys_balance has 41 rows in staging
  And one LOAD event per file is written to audit_log
Scenario: Missing file
  Given collsys_collateral.csv is missing
  When the ingestion job runs
  Then the run status is FAILED_INGESTION
  And the message names the missing file</t>
  </si>
  <si>
    <t>US-02</t>
  </si>
  <si>
    <t>Maintain code mappings</t>
  </si>
  <si>
    <t>As a Business Analyst I want to maintain product, status and collateral mappings in a reference table with approval so that mapping errors are controlled and visible.</t>
  </si>
  <si>
    <t>mappings editable in UI or CSV upload; change creates DRAFT version; checker approval activates it; history kept.</t>
  </si>
  <si>
    <t>US-13 (audit)</t>
  </si>
  <si>
    <t>Scenario: Fixing the CRM mapping
  Given PRODUCT code CRM maps to CI_TERM in the active mapping
  When the BA changes the target to CRE_MULTIFAMILY
  Then a new DRAFT mapping version is created
  And the active mapping still shows CI_TERM until a checker approves
  When a different user approves the change
  Then CRM maps to CRE_MULTIFAMILY and the change is in audit_log with before and after values</t>
  </si>
  <si>
    <t>US-03</t>
  </si>
  <si>
    <t>Transform staging to curated</t>
  </si>
  <si>
    <t>E2 Transformation</t>
  </si>
  <si>
    <t>As a Data Engineer I want staging data typed, standardized and loaded into curated tables per the mapping spec so that calculations use clean, consistent data.</t>
  </si>
  <si>
    <t>mappings M01–M13 implemented; rows that fail a transformation go to exceptions, never silently dropped; duplicate balance rows collapsed with the removed row logged.</t>
  </si>
  <si>
    <t>US-01, US-02</t>
  </si>
  <si>
    <t>Scenario: Unmapped code is not dropped silently
  Given loan LN1029 has status code XX
  When the transformation runs
  Then LN1029 is loaded to curated with status UNMAPPED
  And a dq_exception is raised for rule DQ-V02
Scenario: Duplicate balance collapsed
  Given LN1025 has two identical balance rows for 2026-06-30
  When the transformation runs
  Then cur.loan_balance has exactly one row for LN1025</t>
  </si>
  <si>
    <t>US-04</t>
  </si>
  <si>
    <t>Derive current loan status</t>
  </si>
  <si>
    <t>As a Risk Analyst I want each loan's current status to be its latest status on or before the as-of date so that PD and risk weight use the right delinquency state.</t>
  </si>
  <si>
    <t>See Gherkin scenarios</t>
  </si>
  <si>
    <t>Scenario: Several status changes
  Given LN1030 has status records 30, 60 and 90 effective 2026-04-20, 2026-05-20 and 2026-06-19
  When current status is derived for 2026-06-30
  Then LN1030 current status is DPD90
Scenario: Two records on the same day
  Given LN1015 has status 30 loaded 06:00 and status C loaded 14:30 both effective 2026-06-15
  When current status is derived
  Then LN1015 current status is CURRENT
  And a warning exception DQ-U02 records the tie</t>
  </si>
  <si>
    <t>US-05</t>
  </si>
  <si>
    <t>Run DQ rule library</t>
  </si>
  <si>
    <t>E3 Data Quality</t>
  </si>
  <si>
    <t>B Quality &amp; Recon</t>
  </si>
  <si>
    <t>As a Data Analyst I want the 15 DQ rules to run automatically after transformation so that data problems are caught before they reach capital numbers.</t>
  </si>
  <si>
    <t>rules stored as rows in ctl.dq_rule (ID, dimension, SQL, severity, owner); each failure creates one exception; DQ scorecard shows pass rate by dimension.</t>
  </si>
  <si>
    <t>US-03, US-04</t>
  </si>
  <si>
    <t>Scenario: Seeded defects are detected
  Given the 2026-06-30 source data with 12 seeded defects
  When the DQ rules run
  Then at least one exception exists for each of D01 to D12
  And critical exceptions are flagged for D01, D02, D04 to D10
Scenario: A BA adds a new rule without code
  Given a new row DQ-A04 is inserted into ctl.dq_rule with status ACTIVE
  When the DQ rules run
  Then DQ-A04 results appear on the scorecard</t>
  </si>
  <si>
    <t>US-06</t>
  </si>
  <si>
    <t>Review and resolve DQ exceptions</t>
  </si>
  <si>
    <t>As a Report Reviewer I want to approve fixes or overrides for critical exceptions so that the run can continue without hiding problems.</t>
  </si>
  <si>
    <t>US-05, US-13</t>
  </si>
  <si>
    <t>Scenario: Calculation blocked by open critical exception
  Given exception D02 (null rating on C0019) is OPEN and critical
  When the Risk Analyst tries to start the calculation
  Then the calculation is blocked with the message "1 or more critical exceptions open"
Scenario: Override with reason
  Given analyst1 proposes rating 7 for C0019 with reason "conservative default pending credit review"
  When reviewer1 approves the override
  Then the exception status is OVERRIDDEN
  And audit_log stores old value NULL, new value 7, maker analyst1, checker reviewer1
Scenario: Maker cannot approve own override
  Given analyst1 proposed the override
  When analyst1 tries to approve it
  Then the approval is rejected</t>
  </si>
  <si>
    <t>US-07</t>
  </si>
  <si>
    <t>Manage scenarios and parameters</t>
  </si>
  <si>
    <t>E4 Calculation</t>
  </si>
  <si>
    <t>C Risk &amp; Capital</t>
  </si>
  <si>
    <t>As a Risk Analyst I want to view, version and activate scenarios and parameters so that each run uses a controlled, reproducible set of assumptions.</t>
  </si>
  <si>
    <t>none</t>
  </si>
  <si>
    <t>Scenario: Only active scenarios can run
  Given scenario SEV version 2 is DRAFT and version 1 is ACTIVE
  When I open scenario selection
  Then only SEV version 1 can be selected
Scenario: Run records versions
  When I run BASE, MOD and SEV
  Then calc_run stores scenario versions and parameter version 1</t>
  </si>
  <si>
    <t>US-08</t>
  </si>
  <si>
    <t>Calculate loan-level credit risk</t>
  </si>
  <si>
    <t>As a Risk Analyst I want PD, LGD, EAD, stress loss, risk weight and RWA calculated per loan per scenario so that I can see which loans drive stressed losses.</t>
  </si>
  <si>
    <t>120 result rows (40 loans × 3 scenarios); each matches the QA expected file within $1; integrity checks (PD, LGD in [0,1], loss ≤ EAD, one row per loan per scenario) pass.</t>
  </si>
  <si>
    <t>US-04, US-06, US-07</t>
  </si>
  <si>
    <t>Scenario Outline: Worked examples
  When the calculation runs for &lt;loan&gt; under &lt;scenario&gt;
  Then EAD is &lt;ead&gt; and LGD is &lt;lgd&gt; and stress loss is &lt;loss&gt;
  Examples:
    | loan   | scenario | ead        | lgd    | loss         |
    | LN1012 | BASE     | 7125000.00 | 0.4500 | 144281.25    |
    | LN1012 | SEV      | 7125000.00 | 0.4500 | 432843.75    |
    | LN1019 | SEV      | 28750000.00| 0.3238 | 1466325.00   |
    | LN1030 | MOD      | 1975000.00 | 0.4500 | 888750.00    |
Scenario: Portfolio RWA
  When the calculation completes
  Then total loan RWA is 323637500.00</t>
  </si>
  <si>
    <t>US-09</t>
  </si>
  <si>
    <t>Project PPNR and capital</t>
  </si>
  <si>
    <t>As a Controller I want PPNR, net income, ending CET1 and CET1 ratio projected for each scenario so that I can see whether the bank stays above minimum capital under stress.</t>
  </si>
  <si>
    <t>values match Section 9.10; aggregates by portfolio, product and rating sum to the total; every figure shows its formula and inputs on hover.</t>
  </si>
  <si>
    <t>Scenario: Severe capital outcome
  Given starting CET1 60400000 and total RWA 503637500
  When the capital projection runs for SEV
  Then total stress loss is 24180053.76
  And ending CET1 ratio is 8.53%
  And the illustrative SCB is 3.86%
Scenario: Scenario ordering
  When all three scenarios are projected
  Then SEV loss &gt;= MOD loss &gt;= BASE loss
  And SEV ending ratio &lt;= MOD ending ratio &lt;= BASE ending ratio</t>
  </si>
  <si>
    <t>US-10</t>
  </si>
  <si>
    <t>Reconcile source, curated and GL</t>
  </si>
  <si>
    <t>E5 Recon &amp; Reporting</t>
  </si>
  <si>
    <t>As a Data Analyst I want automatic count and balance reconciliations with a bridge of every difference so that I can prove the numbers are complete before review.</t>
  </si>
  <si>
    <t>file → staging → curated count and amount checks; curated vs GL by account; bridge items auto-classified (duplicate, orphan, correction, supplementary); breaks above tolerance need a comment.</t>
  </si>
  <si>
    <t>US-03, US-06</t>
  </si>
  <si>
    <t>Scenario: Balance bridge
  Given the raw balance file totals 279700000 over 41 rows
  When reconciliation runs after all fixes
  Then curated outstanding totals 286600000 over 40 loans
  And the bridge shows: duplicate -3900000, orphan -2400000, sign correction +4500000, supplementary +8700000
Scenario: Explained GL break
  Given GL total is 289000000
  When curated is reconciled to GL
  Then a break of 2400000 on GL 141000 is raised
  And the break cannot be marked EXPLAINED without a comment</t>
  </si>
  <si>
    <t>US-11</t>
  </si>
  <si>
    <t>Generate regulatory-style reports</t>
  </si>
  <si>
    <t>BR-013, BR-012</t>
  </si>
  <si>
    <t>D Reporting &amp; Governance</t>
  </si>
  <si>
    <t>As a Data Analyst I want R1 (Y-14Q-style) and R2 (Y-14A-style) generated with edit checks so that I can submit a validated report for review.</t>
  </si>
  <si>
    <t>fields per Section 11; edit checks E01–E11 run; report reconciliations RR01–RR05 run; export to CSV and Excel equals the on-screen report.</t>
  </si>
  <si>
    <t>US-09, US-10</t>
  </si>
  <si>
    <t>Scenario: Mapping defect caught at report level
  Given the CRM mapping defect has not been fixed
  When R1 is generated
  Then edit check E06 fails for 5 loans in R1-CORP
  And the report cannot move to IN_REVIEW
Scenario: Clean report
  Given all critical DQ exceptions are resolved
  When R1 is generated
  Then R1-CORP has 25 rows and R1-CRE has 15 rows
  And RR02 passes with utilized total 286600000</t>
  </si>
  <si>
    <t>US-12</t>
  </si>
  <si>
    <t>Maker-checker approval</t>
  </si>
  <si>
    <t>E6 Governance</t>
  </si>
  <si>
    <t>As a Report Reviewer I want to approve or reject a report with comments, with final Controller sign-off on R2 so that no report is final without independent review.</t>
  </si>
  <si>
    <t>US-11, US-13</t>
  </si>
  <si>
    <t>Scenario: Approve
  Given R1 v1 is IN_REVIEW, prepared by analyst1
  When reviewer1 approves it
  Then R1 v1 status is APPROVED and it is read-only
Scenario: Reject and regenerate
  Given R2 v1 is IN_REVIEW
  When reviewer1 rejects it with comment "Recheck CRE LGD for LN1017"
  Then R2 v1 status is REJECTED
  And regeneration creates R2 v2 in DRAFT
Scenario: Segregation of duties
  Given analyst1 prepared R1 v1
  When analyst1 tries to approve R1 v1
  Then the action is refused</t>
  </si>
  <si>
    <t>US-13</t>
  </si>
  <si>
    <t>Audit trail</t>
  </si>
  <si>
    <t>As an Auditor I want an append-only log of every significant action so that I can reconstruct who did what, when and why.</t>
  </si>
  <si>
    <t>none (built early; used by all)</t>
  </si>
  <si>
    <t>Scenario: Audit entries are immutable
  Given an audit_log entry exists
  When any user attempts UPDATE or DELETE on audit_log
  Then the database refuses the change
Scenario: Filter the trail
  When I filter audit_log by run R20260630-003
  Then I see load, DQ, override, calculation, report and approval events in time order</t>
  </si>
  <si>
    <t>US-14</t>
  </si>
  <si>
    <t>Lineage view</t>
  </si>
  <si>
    <t>As an Auditor I want to click any report value and see where it came from so that I can verify data provenance.</t>
  </si>
  <si>
    <t>Scenario: Trace utilized exposure
  Given R1-CORP shows utilized exposure 6250000.00 for LN1012
  When I open lineage for that value
  Then I see loansys_balance.csv row LN1012, stg.loan_balance, cur.loan_balance, mapping M09, DQ rules U01, A01, A02 passed</t>
  </si>
  <si>
    <t>US-15</t>
  </si>
  <si>
    <t>Scenario comparison dashboard</t>
  </si>
  <si>
    <t>E7 Demo readiness</t>
  </si>
  <si>
    <t>As a Controller I want a one-page view of losses and CET1 ratios by scenario so that I can grasp the stress impact in a minute.</t>
  </si>
  <si>
    <t>loss by product and scenario; starting vs ending CET1 ratio by scenario with the 4.5% minimum marked; all values tie to R2.</t>
  </si>
  <si>
    <t>Scenario: Dashboard ties to report
  When I open the dashboard for run R20260630-003
  Then the SEV ending CET1 ratio shown equals R2 line A12 for SEV</t>
  </si>
  <si>
    <t>US-16</t>
  </si>
  <si>
    <t>One-command pipeline run</t>
  </si>
  <si>
    <t>As a Scrum team member I want to run ingestion to report with one command so that the demo and regression tests are repeatable.</t>
  </si>
  <si>
    <t>US-01 to US-10</t>
  </si>
  <si>
    <t>Scenario: Clean run
  Given the clean dataset (all fixes applied)
  When I run run_pipeline.py --asof 2026-06-30
  Then the run completes in under 5 minutes with status READY_FOR_REVIEW
Scenario: Run stops at DQ gate
  Given the raw dataset with seeded defects
  When I run the pipeline
  Then it stops with status DQ_BLOCKED and lists the open critical exceptions</t>
  </si>
  <si>
    <t>One row per Gherkin scenario. QA fills the last two columns during each sprint.</t>
  </si>
  <si>
    <t>Story title</t>
  </si>
  <si>
    <t>Scenario</t>
  </si>
  <si>
    <t>Result (Pass / Fail)</t>
  </si>
  <si>
    <t>Tested by / date</t>
  </si>
  <si>
    <t>All files present</t>
  </si>
  <si>
    <t>Missing file</t>
  </si>
  <si>
    <t>Fixing the CRM mapping</t>
  </si>
  <si>
    <t>Unmapped code is not dropped silently</t>
  </si>
  <si>
    <t>Duplicate balance collapsed</t>
  </si>
  <si>
    <t>Several status changes</t>
  </si>
  <si>
    <t>Two records on the same day</t>
  </si>
  <si>
    <t>Seeded defects are detected</t>
  </si>
  <si>
    <t>A BA adds a new rule without code</t>
  </si>
  <si>
    <t>Calculation blocked by open critical exception</t>
  </si>
  <si>
    <t>Override with reason</t>
  </si>
  <si>
    <t>Maker cannot approve own override</t>
  </si>
  <si>
    <t>Only active scenarios can run</t>
  </si>
  <si>
    <t>Run records versions</t>
  </si>
  <si>
    <t>Worked examples</t>
  </si>
  <si>
    <t>Portfolio RWA</t>
  </si>
  <si>
    <t>Severe capital outcome</t>
  </si>
  <si>
    <t>Scenario ordering</t>
  </si>
  <si>
    <t>Balance bridge</t>
  </si>
  <si>
    <t>Explained GL break</t>
  </si>
  <si>
    <t>Mapping defect caught at report level</t>
  </si>
  <si>
    <t>Clean report</t>
  </si>
  <si>
    <t>Approve</t>
  </si>
  <si>
    <t>Reject and regenerate</t>
  </si>
  <si>
    <t>Segregation of duties</t>
  </si>
  <si>
    <t>Audit entries are immutable</t>
  </si>
  <si>
    <t>Filter the trail</t>
  </si>
  <si>
    <t>Trace utilized exposure</t>
  </si>
  <si>
    <t>Dashboard ties to report</t>
  </si>
  <si>
    <t>Clean run</t>
  </si>
  <si>
    <t>Run stops at DQ gate</t>
  </si>
  <si>
    <t>Table</t>
  </si>
  <si>
    <t>Purpose</t>
  </si>
  <si>
    <t>Primary key</t>
  </si>
  <si>
    <t>Foreign keys</t>
  </si>
  <si>
    <t>cur.customer</t>
  </si>
  <si>
    <t>Obligor (borrower) master</t>
  </si>
  <si>
    <t>customer_id</t>
  </si>
  <si>
    <t>—</t>
  </si>
  <si>
    <t>cur.loan_master</t>
  </si>
  <si>
    <t>Static loan terms</t>
  </si>
  <si>
    <t>loan_id</t>
  </si>
  <si>
    <t>customer_id → customer</t>
  </si>
  <si>
    <t>cur.loan_balance</t>
  </si>
  <si>
    <t>Quarter-end balances</t>
  </si>
  <si>
    <t>loan_id + as_of_date</t>
  </si>
  <si>
    <t>loan_id → loan_master</t>
  </si>
  <si>
    <t>cur.loan_status_history</t>
  </si>
  <si>
    <t>Every status change per loan</t>
  </si>
  <si>
    <t>status_hist_id</t>
  </si>
  <si>
    <t>cur.collateral</t>
  </si>
  <si>
    <t>Collateral pledged against loans</t>
  </si>
  <si>
    <t>collateral_id</t>
  </si>
  <si>
    <t>ref.stress_scenario</t>
  </si>
  <si>
    <t>Scenario variables and multipliers</t>
  </si>
  <si>
    <t>scenario_id + version</t>
  </si>
  <si>
    <t>ref.risk_parameter</t>
  </si>
  <si>
    <t>Base PD, LGD, CCF, risk weights</t>
  </si>
  <si>
    <t>param_id</t>
  </si>
  <si>
    <t>calc.calc_result</t>
  </si>
  <si>
    <t>Loan-level results per scenario</t>
  </si>
  <si>
    <t>run_id + loan_id + scenario_id</t>
  </si>
  <si>
    <t>run_id → calc_run; loan_id → loan_master; scenario_id → stress_scenario</t>
  </si>
  <si>
    <t>rpt.reg_report / rpt.reg_report_line</t>
  </si>
  <si>
    <t>Report header and lines</t>
  </si>
  <si>
    <t>report_id / report_id + line_no</t>
  </si>
  <si>
    <t>run_id → calc_run; report_id → reg_report</t>
  </si>
  <si>
    <t>ref.code_map</t>
  </si>
  <si>
    <t>Source code → standard code</t>
  </si>
  <si>
    <t>source_system + code_type + source_code</t>
  </si>
  <si>
    <t>ctl.calc_run</t>
  </si>
  <si>
    <t>One row per pipeline run</t>
  </si>
  <si>
    <t>run_id</t>
  </si>
  <si>
    <t>ctl.dq_rule / ctl.dq_exception</t>
  </si>
  <si>
    <t>DQ rule library and failures</t>
  </si>
  <si>
    <t>rule_id / exception_id</t>
  </si>
  <si>
    <t>exception.rule_id → dq_rule; run_id → calc_run</t>
  </si>
  <si>
    <t>ctl.recon_result</t>
  </si>
  <si>
    <t>Reconciliation checks and breaks</t>
  </si>
  <si>
    <t>recon_id</t>
  </si>
  <si>
    <t>run_id → calc_run</t>
  </si>
  <si>
    <t>ctl.gl_control</t>
  </si>
  <si>
    <t>GL control totals by product</t>
  </si>
  <si>
    <t>gl_account + as_of_date</t>
  </si>
  <si>
    <t>ctl.audit_log</t>
  </si>
  <si>
    <t>Append-only event log</t>
  </si>
  <si>
    <t>audit_id</t>
  </si>
  <si>
    <t>Field</t>
  </si>
  <si>
    <t>Description</t>
  </si>
  <si>
    <t>Data type</t>
  </si>
  <si>
    <t>Example</t>
  </si>
  <si>
    <t>Customer (cur.customer)</t>
  </si>
  <si>
    <t>Unique obligor ID from LOANSYS</t>
  </si>
  <si>
    <t>VARCHAR(10)</t>
  </si>
  <si>
    <t>C0007</t>
  </si>
  <si>
    <t>customer_name</t>
  </si>
  <si>
    <t>Legal name (synthetic)</t>
  </si>
  <si>
    <t>VARCHAR(100)</t>
  </si>
  <si>
    <t>Lakeside Precision Tooling LLC</t>
  </si>
  <si>
    <t>naics_code</t>
  </si>
  <si>
    <t>Industry classification (NAICS)</t>
  </si>
  <si>
    <t>CHAR(6)</t>
  </si>
  <si>
    <t>332710</t>
  </si>
  <si>
    <t>industry_segment</t>
  </si>
  <si>
    <t>Mapped industry group</t>
  </si>
  <si>
    <t>VARCHAR(40)</t>
  </si>
  <si>
    <t>Manufacturing</t>
  </si>
  <si>
    <t>state_code</t>
  </si>
  <si>
    <t>US state of headquarters</t>
  </si>
  <si>
    <t>CHAR(2)</t>
  </si>
  <si>
    <t>OH</t>
  </si>
  <si>
    <t>obligor_rating</t>
  </si>
  <si>
    <t>Internal risk rating, 1 (best) to 10 (default)</t>
  </si>
  <si>
    <t>SMALLINT</t>
  </si>
  <si>
    <t>5</t>
  </si>
  <si>
    <t>customer_since</t>
  </si>
  <si>
    <t>Relationship start date</t>
  </si>
  <si>
    <t>DATE</t>
  </si>
  <si>
    <t>2014-03-01</t>
  </si>
  <si>
    <t>Loan Master (cur.loan_master)</t>
  </si>
  <si>
    <t>Facility ID</t>
  </si>
  <si>
    <t>LN1012</t>
  </si>
  <si>
    <t>Borrower</t>
  </si>
  <si>
    <t>src_product_code</t>
  </si>
  <si>
    <t>Product code as received</t>
  </si>
  <si>
    <t>CIT</t>
  </si>
  <si>
    <t>product_code</t>
  </si>
  <si>
    <t>Standard product (after mapping)</t>
  </si>
  <si>
    <t>VARCHAR(20)</t>
  </si>
  <si>
    <t>CI_TERM</t>
  </si>
  <si>
    <t>portfolio</t>
  </si>
  <si>
    <t>C&amp;I or CRE</t>
  </si>
  <si>
    <t>VARCHAR(5)</t>
  </si>
  <si>
    <t>CI</t>
  </si>
  <si>
    <t>origination_date</t>
  </si>
  <si>
    <t>Booking date</t>
  </si>
  <si>
    <t>2022-05-16</t>
  </si>
  <si>
    <t>maturity_date</t>
  </si>
  <si>
    <t>Contractual maturity</t>
  </si>
  <si>
    <t>2029-05-16</t>
  </si>
  <si>
    <t>commitment_amt</t>
  </si>
  <si>
    <t>Total committed limit (USD)</t>
  </si>
  <si>
    <t>NUMERIC(18,2)</t>
  </si>
  <si>
    <t>8,000,000.00</t>
  </si>
  <si>
    <t>interest_rate</t>
  </si>
  <si>
    <t>Current rate (decimal)</t>
  </si>
  <si>
    <t>NUMERIC(7,5)</t>
  </si>
  <si>
    <t>0.07250</t>
  </si>
  <si>
    <t>rate_type</t>
  </si>
  <si>
    <t>FIXED or FLOAT</t>
  </si>
  <si>
    <t>FLOAT</t>
  </si>
  <si>
    <t>hvcre_flag</t>
  </si>
  <si>
    <t>High-volatility CRE (Y/N)</t>
  </si>
  <si>
    <t>CHAR(1)</t>
  </si>
  <si>
    <t>N</t>
  </si>
  <si>
    <t>source_system</t>
  </si>
  <si>
    <t>Originating system</t>
  </si>
  <si>
    <t>LOANSYS</t>
  </si>
  <si>
    <t>Loan Balance (cur.loan_balance)</t>
  </si>
  <si>
    <t>as_of_date</t>
  </si>
  <si>
    <t>Snapshot date</t>
  </si>
  <si>
    <t>2026-06-30</t>
  </si>
  <si>
    <t>outstanding_bal</t>
  </si>
  <si>
    <t>Drawn principal (USD)</t>
  </si>
  <si>
    <t>6,250,000.00</t>
  </si>
  <si>
    <t>undrawn_amt</t>
  </si>
  <si>
    <t>commitment_amt − outstanding_bal</t>
  </si>
  <si>
    <t>1,750,000.00</t>
  </si>
  <si>
    <t>days_past_due</t>
  </si>
  <si>
    <t>Days past due at snapshot</t>
  </si>
  <si>
    <t>INTEGER</t>
  </si>
  <si>
    <t>0</t>
  </si>
  <si>
    <t>gl_account</t>
  </si>
  <si>
    <t>GL account the balance posts to</t>
  </si>
  <si>
    <t>141000</t>
  </si>
  <si>
    <t>Loan Status History (cur.loan_status_history)</t>
  </si>
  <si>
    <t>Surrogate key</t>
  </si>
  <si>
    <t>BIGINT</t>
  </si>
  <si>
    <t>50031</t>
  </si>
  <si>
    <t>LN1030</t>
  </si>
  <si>
    <t>src_status_code</t>
  </si>
  <si>
    <t>Status as received</t>
  </si>
  <si>
    <t>90</t>
  </si>
  <si>
    <t>status_code</t>
  </si>
  <si>
    <t>Standard status: CURRENT, DPD30, DPD60, DPD90, NONACCRUAL, PAIDOFF</t>
  </si>
  <si>
    <t>VARCHAR(12)</t>
  </si>
  <si>
    <t>DPD90</t>
  </si>
  <si>
    <t>effective_date</t>
  </si>
  <si>
    <t>Date status took effect</t>
  </si>
  <si>
    <t>2026-06-12</t>
  </si>
  <si>
    <t>load_ts</t>
  </si>
  <si>
    <t>When the row was received</t>
  </si>
  <si>
    <t>TIMESTAMP</t>
  </si>
  <si>
    <t>2026-07-02 06:10:00</t>
  </si>
  <si>
    <t>Collateral (cur.collateral)</t>
  </si>
  <si>
    <t>Collateral ID from COLLSYS</t>
  </si>
  <si>
    <t>CL2005</t>
  </si>
  <si>
    <t>Secured loan</t>
  </si>
  <si>
    <t>LN1023</t>
  </si>
  <si>
    <t>src_collateral_type</t>
  </si>
  <si>
    <t>Type as received</t>
  </si>
  <si>
    <t>OFF</t>
  </si>
  <si>
    <t>collateral_type</t>
  </si>
  <si>
    <t>Standard: CRE_OFFICE, CRE_MF, CRE_RETAIL, CRE_IND, EQUIPMENT, AR_INV</t>
  </si>
  <si>
    <t>CRE_OFFICE</t>
  </si>
  <si>
    <t>collateral_value</t>
  </si>
  <si>
    <t>Latest appraised value (USD)</t>
  </si>
  <si>
    <t>14,500,000.00</t>
  </si>
  <si>
    <t>valuation_date</t>
  </si>
  <si>
    <t>Appraisal date</t>
  </si>
  <si>
    <t>2025-11-20</t>
  </si>
  <si>
    <t>Stress Scenario (ref.stress_scenario)</t>
  </si>
  <si>
    <t>scenario_id</t>
  </si>
  <si>
    <t>BASE, MOD, SEV</t>
  </si>
  <si>
    <t>SEV</t>
  </si>
  <si>
    <t>version</t>
  </si>
  <si>
    <t>Parameter version</t>
  </si>
  <si>
    <t>1</t>
  </si>
  <si>
    <t>scenario_name</t>
  </si>
  <si>
    <t>Display name</t>
  </si>
  <si>
    <t>Severe Stress</t>
  </si>
  <si>
    <t>unemployment_peak</t>
  </si>
  <si>
    <t>Peak unemployment rate (%)</t>
  </si>
  <si>
    <t>NUMERIC(5,2)</t>
  </si>
  <si>
    <t>10.00</t>
  </si>
  <si>
    <t>gdp_peak_to_trough</t>
  </si>
  <si>
    <t>Real GDP change (%)</t>
  </si>
  <si>
    <t>-4.00</t>
  </si>
  <si>
    <t>cre_price_change</t>
  </si>
  <si>
    <t>CRE price change (%)</t>
  </si>
  <si>
    <t>-40.00</t>
  </si>
  <si>
    <t>pd_multiplier_ci / pd_multiplier_cre</t>
  </si>
  <si>
    <t>PD stress multipliers</t>
  </si>
  <si>
    <t>3.00 / 3.50</t>
  </si>
  <si>
    <t>other_coll_haircut</t>
  </si>
  <si>
    <t>Extra haircut on non-CRE collateral</t>
  </si>
  <si>
    <t>NUMERIC(5,4)</t>
  </si>
  <si>
    <t>0.3000</t>
  </si>
  <si>
    <t>ppnr_factor</t>
  </si>
  <si>
    <t>PPNR scaling vs baseline</t>
  </si>
  <si>
    <t>0.60</t>
  </si>
  <si>
    <t>status</t>
  </si>
  <si>
    <t>DRAFT, ACTIVE, RETIRED</t>
  </si>
  <si>
    <t>VARCHAR(8)</t>
  </si>
  <si>
    <t>ACTIVE</t>
  </si>
  <si>
    <t>approved_by</t>
  </si>
  <si>
    <t>Approver user ID</t>
  </si>
  <si>
    <t>VARCHAR(30)</t>
  </si>
  <si>
    <t>risk.lead</t>
  </si>
  <si>
    <t>Risk Parameters (ref.risk_parameter)</t>
  </si>
  <si>
    <t>12</t>
  </si>
  <si>
    <t>param_type</t>
  </si>
  <si>
    <t>BASE_PD, LGD_FLOOR, UNSECURED_LGD, CCF, RISK_WEIGHT, RECOVERY_COST</t>
  </si>
  <si>
    <t>BASE_PD</t>
  </si>
  <si>
    <t>param_key</t>
  </si>
  <si>
    <t>Rating, product or collateral type</t>
  </si>
  <si>
    <t>param_value</t>
  </si>
  <si>
    <t>Value (decimal)</t>
  </si>
  <si>
    <t>NUMERIC(9,6)</t>
  </si>
  <si>
    <t>0.020000</t>
  </si>
  <si>
    <t>effective_from</t>
  </si>
  <si>
    <t>Start date</t>
  </si>
  <si>
    <t>2026-01-01</t>
  </si>
  <si>
    <t>Version</t>
  </si>
  <si>
    <t>Calculation Results (calc.calc_result)</t>
  </si>
  <si>
    <t>Pipeline run</t>
  </si>
  <si>
    <t>R20260630-003</t>
  </si>
  <si>
    <t>Facility</t>
  </si>
  <si>
    <t>base_pd</t>
  </si>
  <si>
    <t>Annual PD before stress</t>
  </si>
  <si>
    <t>stressed_pd</t>
  </si>
  <si>
    <t>Annual PD after multiplier (cap 1)</t>
  </si>
  <si>
    <t>0.060000</t>
  </si>
  <si>
    <t>cum_pd_9q</t>
  </si>
  <si>
    <t>9-quarter cumulative PD</t>
  </si>
  <si>
    <t>0.135000</t>
  </si>
  <si>
    <t>ead</t>
  </si>
  <si>
    <t>Exposure at default (USD)</t>
  </si>
  <si>
    <t>7,125,000.00</t>
  </si>
  <si>
    <t>lgd</t>
  </si>
  <si>
    <t>Loss given default</t>
  </si>
  <si>
    <t>0.450000</t>
  </si>
  <si>
    <t>stress_loss</t>
  </si>
  <si>
    <t>cum_pd × lgd × ead (USD)</t>
  </si>
  <si>
    <t>432,843.75</t>
  </si>
  <si>
    <t>risk_weight</t>
  </si>
  <si>
    <t>Applied risk weight</t>
  </si>
  <si>
    <t>1.00</t>
  </si>
  <si>
    <t>rwa</t>
  </si>
  <si>
    <t>Risk-weighted assets (USD)</t>
  </si>
  <si>
    <t>Regulatory Report (rpt.reg_report + rpt.reg_report_line)</t>
  </si>
  <si>
    <t>report_id</t>
  </si>
  <si>
    <t>Report instance</t>
  </si>
  <si>
    <t>RPT-Y14Q-CORP-20260630-v2</t>
  </si>
  <si>
    <t>Run that produced it</t>
  </si>
  <si>
    <t>report_type</t>
  </si>
  <si>
    <t>Y14Q_STYLE_CORP, Y14Q_STYLE_CRE, Y14A_STYLE_CAPITAL</t>
  </si>
  <si>
    <t>VARCHAR(25)</t>
  </si>
  <si>
    <t>Y14Q_STYLE_CORP</t>
  </si>
  <si>
    <t>Increments on every regeneration</t>
  </si>
  <si>
    <t>2</t>
  </si>
  <si>
    <t>DRAFT, IN_REVIEW, APPROVED, REJECTED</t>
  </si>
  <si>
    <t>IN_REVIEW</t>
  </si>
  <si>
    <t>prepared_by / reviewed_by / approved_by</t>
  </si>
  <si>
    <t>Maker, checker, final approver</t>
  </si>
  <si>
    <t>analyst1 / reviewer1 / controller1</t>
  </si>
  <si>
    <t>line_no, field_code, field_value</t>
  </si>
  <si>
    <t>One reported value per line (long format)</t>
  </si>
  <si>
    <t>INT, VARCHAR(40), VARCHAR(100)</t>
  </si>
  <si>
    <t>14, OUTSTANDING_BAL, 6250000.00</t>
  </si>
  <si>
    <t>Loan the line belongs to (null for summary lines)</t>
  </si>
  <si>
    <t>lineage_ref</t>
  </si>
  <si>
    <t>Source table.field the value came from</t>
  </si>
  <si>
    <t>cur.loan_balance.outstanding_bal</t>
  </si>
  <si>
    <t>#</t>
  </si>
  <si>
    <t>Source table</t>
  </si>
  <si>
    <t>Source field</t>
  </si>
  <si>
    <t>Business rule</t>
  </si>
  <si>
    <t>Transformation</t>
  </si>
  <si>
    <t>Target table</t>
  </si>
  <si>
    <t>Target field</t>
  </si>
  <si>
    <t>M01</t>
  </si>
  <si>
    <t>loansys_customer</t>
  </si>
  <si>
    <t>Must be unique and not null</t>
  </si>
  <si>
    <t>TRIM, UPPER</t>
  </si>
  <si>
    <t>M02</t>
  </si>
  <si>
    <t>Integer 1–10; null is a critical exception</t>
  </si>
  <si>
    <t>CAST to SMALLINT; approved override if null</t>
  </si>
  <si>
    <t>M03</t>
  </si>
  <si>
    <t>6 digits; null allowed with warning</t>
  </si>
  <si>
    <t>First 2 digits → sector via ref.code_map (NAICS2); null → UNKNOWN</t>
  </si>
  <si>
    <t>M04</t>
  </si>
  <si>
    <t>loansys_loan</t>
  </si>
  <si>
    <t>Every code must exist in the mapping</t>
  </si>
  <si>
    <t>Lookup ref.code_map (PRODUCT)</t>
  </si>
  <si>
    <t>M05</t>
  </si>
  <si>
    <t>Derived</t>
  </si>
  <si>
    <t>CASE WHEN product_code LIKE 'CRE%' THEN 'CRE' ELSE 'CI' END</t>
  </si>
  <si>
    <t>M06</t>
  </si>
  <si>
    <t>&gt; 0</t>
  </si>
  <si>
    <t>CAST NUMERIC(18,2)</t>
  </si>
  <si>
    <t>M07</t>
  </si>
  <si>
    <t>0 &lt; rate &lt; 0.25; not null</t>
  </si>
  <si>
    <t>CAST NUMERIC(7,5)</t>
  </si>
  <si>
    <t>M08</t>
  </si>
  <si>
    <t>Y or N; CRE products only</t>
  </si>
  <si>
    <t>UPPER; default N</t>
  </si>
  <si>
    <t>M09</t>
  </si>
  <si>
    <t>loansys_balance</t>
  </si>
  <si>
    <t>One row per loan per as-of date; ≥ 0; ≤ commitment</t>
  </si>
  <si>
    <t>CAST; de-duplicate on (loan_id, as_of_date)</t>
  </si>
  <si>
    <t>M10</t>
  </si>
  <si>
    <t>loansys_balance + loansys_loan</t>
  </si>
  <si>
    <t>outstanding_bal, commitment_amt</t>
  </si>
  <si>
    <t>GREATEST(commitment_amt - outstanding_bal, 0)</t>
  </si>
  <si>
    <t>M11</t>
  </si>
  <si>
    <t>loansys_status</t>
  </si>
  <si>
    <t>status_code, effective_date, load_ts</t>
  </si>
  <si>
    <t>Latest effective_date ≤ as-of; tie → latest load_ts</t>
  </si>
  <si>
    <t>ROW_NUMBER() window; lookup ref.code_map (STATUS)</t>
  </si>
  <si>
    <t>cur.loan_master (view v_loan_current_status)</t>
  </si>
  <si>
    <t>current_status</t>
  </si>
  <si>
    <t>M12</t>
  </si>
  <si>
    <t>collsys_collateral</t>
  </si>
  <si>
    <t>Every code must exist in mapping</t>
  </si>
  <si>
    <t>Lookup ref.code_map (COLLATERAL)</t>
  </si>
  <si>
    <t>M13</t>
  </si>
  <si>
    <t>collateral_value, valuation_date</t>
  </si>
  <si>
    <t>&gt; 0; valuation ≤ 24 months old (warning)</t>
  </si>
  <si>
    <t>CAST; age = as-of − valuation_date</t>
  </si>
  <si>
    <t>collateral_value, valuation_age_months</t>
  </si>
  <si>
    <t>M14</t>
  </si>
  <si>
    <t>outstanding_bal, undrawn_amt</t>
  </si>
  <si>
    <t>outstanding_bal + 0.50 × undrawn_amt</t>
  </si>
  <si>
    <t>M15</t>
  </si>
  <si>
    <t>cur.* + calc.calc_result</t>
  </si>
  <si>
    <t>commitment_amt, outstanding_bal, obligor_rating, stress_loss</t>
  </si>
  <si>
    <t>Report only curated/calculated values</t>
  </si>
  <si>
    <t>Pivot to report lines; stamp lineage_ref</t>
  </si>
  <si>
    <t>rpt.reg_report_line</t>
  </si>
  <si>
    <t>Y-14Q-style fields (Section 11)</t>
  </si>
  <si>
    <t>M16</t>
  </si>
  <si>
    <t>Sum by scenario</t>
  </si>
  <si>
    <t>SUM(stress_loss) GROUP BY scenario_id</t>
  </si>
  <si>
    <t>Y-14A-style credit losses</t>
  </si>
  <si>
    <t>code_type</t>
  </si>
  <si>
    <t>source_code</t>
  </si>
  <si>
    <t>target_code</t>
  </si>
  <si>
    <t>PRODUCT</t>
  </si>
  <si>
    <t>CIR</t>
  </si>
  <si>
    <t>CI_REVOLVER</t>
  </si>
  <si>
    <t>CRO</t>
  </si>
  <si>
    <t>CRM</t>
  </si>
  <si>
    <t>CI_TERM ← seeded defect D09; correct value CRE_MULTIFAMILY</t>
  </si>
  <si>
    <t>CRR</t>
  </si>
  <si>
    <t>CRE_RETAIL</t>
  </si>
  <si>
    <t>CRI</t>
  </si>
  <si>
    <t>CRE_INDUSTRIAL</t>
  </si>
  <si>
    <t>STATUS</t>
  </si>
  <si>
    <t>C / 30 / 60 / 90 / NA / PO</t>
  </si>
  <si>
    <t>CURRENT / DPD30 / DPD60 / DPD90 / NONACCRUAL / PAIDOFF</t>
  </si>
  <si>
    <t>COLLATERAL</t>
  </si>
  <si>
    <t>OFF / MFR / RTL / IND / EQP / ARI</t>
  </si>
  <si>
    <t>CRE_OFFICE / CRE_MF / CRE_RETAIL / CRE_IND / EQUIPMENT / AR_INV</t>
  </si>
  <si>
    <t>Defect type</t>
  </si>
  <si>
    <t>Where</t>
  </si>
  <si>
    <t>What is wrong</t>
  </si>
  <si>
    <t>How to detect</t>
  </si>
  <si>
    <t>How to resolve (POC decision)</t>
  </si>
  <si>
    <t>Detected? (Y/N)</t>
  </si>
  <si>
    <t>Resolved? (Y/N)</t>
  </si>
  <si>
    <t>D01</t>
  </si>
  <si>
    <t>NULL value (critical)</t>
  </si>
  <si>
    <t>LN1018 interest_rate</t>
  </si>
  <si>
    <t>Rate missing</t>
  </si>
  <si>
    <t>Completeness rule: interest_rate IS NULL</t>
  </si>
  <si>
    <t>Request correction from LOANSYS; corrected file gives 0.0695</t>
  </si>
  <si>
    <t>D02</t>
  </si>
  <si>
    <t>C0019 obligor_rating (drives LN1021)</t>
  </si>
  <si>
    <t>No rating, so no PD</t>
  </si>
  <si>
    <t>Completeness rule on rating</t>
  </si>
  <si>
    <t>Checker-approved override to rating 7 (conservative), logged in audit</t>
  </si>
  <si>
    <t>D03</t>
  </si>
  <si>
    <t>NULL value (warning)</t>
  </si>
  <si>
    <t>C0014 naics_code</t>
  </si>
  <si>
    <t>Industry missing</t>
  </si>
  <si>
    <t>Completeness rule, warning severity</t>
  </si>
  <si>
    <t>Flag only; industry shown as UNKNOWN in the report</t>
  </si>
  <si>
    <t>D04</t>
  </si>
  <si>
    <t>Duplicate record</t>
  </si>
  <si>
    <t>LN1025 balance row appears twice</t>
  </si>
  <si>
    <t>Balance double-counted (+$3.9M)</t>
  </si>
  <si>
    <t>Uniqueness rule: GROUP BY loan_id, as_of_date HAVING COUNT(*) &gt; 1</t>
  </si>
  <si>
    <t>Keep one row; log removed row</t>
  </si>
  <si>
    <t>D05</t>
  </si>
  <si>
    <t>Missing record</t>
  </si>
  <si>
    <t>LN1033 has no balance row</t>
  </si>
  <si>
    <t>Loan silently disappears from results</t>
  </si>
  <si>
    <t>Anti-join loan_master → loan_balance</t>
  </si>
  <si>
    <t>Supplementary file from LOANSYS gives $8.7M</t>
  </si>
  <si>
    <t>D06</t>
  </si>
  <si>
    <t>Missing parent (orphan)</t>
  </si>
  <si>
    <t>LN1041 in balance file, not in loan master</t>
  </si>
  <si>
    <t>$2.4M balance with no loan terms</t>
  </si>
  <si>
    <t>Anti-join loan_balance → loan_master</t>
  </si>
  <si>
    <t>Excluded from run; recorded as explained GL break (loan booked after master extract cut-off)</t>
  </si>
  <si>
    <t>D07</t>
  </si>
  <si>
    <t>Referential integrity</t>
  </si>
  <si>
    <t>LN1038 points to customer C0026, not in customer file</t>
  </si>
  <si>
    <t>No rating, no industry</t>
  </si>
  <si>
    <t>FK check loan_master → customer</t>
  </si>
  <si>
    <t>Supplementary customer record added (rating 6)</t>
  </si>
  <si>
    <t>D08</t>
  </si>
  <si>
    <t>Invalid status</t>
  </si>
  <si>
    <t>LN1029 status code XX</t>
  </si>
  <si>
    <t>Code not in mapping table</t>
  </si>
  <si>
    <t>Validity rule: code not in ref.code_map</t>
  </si>
  <si>
    <t>Source confirms 60 days past due (matches days_past_due = 64)</t>
  </si>
  <si>
    <t>D09</t>
  </si>
  <si>
    <t>Incorrect mapping</t>
  </si>
  <si>
    <t>ref.code_map: PRODUCT CRM → CI_TERM</t>
  </si>
  <si>
    <t>5 multifamily loans ($67.55M) land in the C&amp;I extract</t>
  </si>
  <si>
    <t>Cross-field rule: C&amp;I product with CRE collateral</t>
  </si>
  <si>
    <t>Fix mapping to CRE_MULTIFAMILY (mapping change goes through approval)</t>
  </si>
  <si>
    <t>D10</t>
  </si>
  <si>
    <t>Incorrect balance</t>
  </si>
  <si>
    <t>LN1021 balance is −$2,250,000; LN1010 balance $4.35M &gt; commitment $4.0M</t>
  </si>
  <si>
    <t>Negative balance; over-limit</t>
  </si>
  <si>
    <t>Accuracy rules: balance &lt; 0; balance &gt; commitment</t>
  </si>
  <si>
    <t>LN1021: sign error, corrected to +$2.25M. LN1010: commitment amendment to $4.5M not loaded; master corrected</t>
  </si>
  <si>
    <t>D11</t>
  </si>
  <si>
    <t>Multiple status records</t>
  </si>
  <si>
    <t>LN1030 has 3 records (30 → 60 → 90); LN1015 has 2 records with the same effective date</t>
  </si>
  <si>
    <t>Wrong status if the wrong row is chosen</t>
  </si>
  <si>
    <t>Latest-status query; tie check on effective date</t>
  </si>
  <si>
    <t>LN1030 = DPD90 (defaulted). LN1015: latest load_ts wins → CURRENT (cured)</t>
  </si>
  <si>
    <t>D12</t>
  </si>
  <si>
    <t>Stale data (warning)</t>
  </si>
  <si>
    <t>CL2006 appraisal dated 2023-02-10 (&gt; 24 months)</t>
  </si>
  <si>
    <t>Collateral value may be overstated</t>
  </si>
  <si>
    <t>Timeliness rule on valuation_date</t>
  </si>
  <si>
    <t>Warning; flagged for re-appraisal, value used as-is</t>
  </si>
  <si>
    <t>Dimension</t>
  </si>
  <si>
    <t>Question it answers</t>
  </si>
  <si>
    <t>POC controls</t>
  </si>
  <si>
    <t>Completeness</t>
  </si>
  <si>
    <t>Is everything there?</t>
  </si>
  <si>
    <t>NULL checks on key fields; every loan has a balance; file counts match</t>
  </si>
  <si>
    <t>Accuracy</t>
  </si>
  <si>
    <t>Are values right?</t>
  </si>
  <si>
    <t>Balance ≥ 0 and ≤ commitment; cross-field product vs collateral; GL tie-out</t>
  </si>
  <si>
    <t>Validity</t>
  </si>
  <si>
    <t>Are values allowed?</t>
  </si>
  <si>
    <t>Codes exist in mapping; rating 1–10; dates logical</t>
  </si>
  <si>
    <t>Uniqueness</t>
  </si>
  <si>
    <t>Is anything counted twice?</t>
  </si>
  <si>
    <t>One balance per loan per date; one status per loan per date</t>
  </si>
  <si>
    <t>Do links hold?</t>
  </si>
  <si>
    <t>Balance → loan; loan → customer; collateral → loan</t>
  </si>
  <si>
    <t>Timeliness</t>
  </si>
  <si>
    <t>Is data current?</t>
  </si>
  <si>
    <t>Collateral appraisal ≤ 24 months</t>
  </si>
  <si>
    <t>Source-to-target reconciliation</t>
  </si>
  <si>
    <t>Did anything get lost or added between layers?</t>
  </si>
  <si>
    <t>Counts and sums: file → staging → curated → report; curated → GL</t>
  </si>
  <si>
    <t>Calculation validation</t>
  </si>
  <si>
    <t>Are the numbers computed correctly?</t>
  </si>
  <si>
    <t>Independent recompute; QA oracle; range checks; scenario ordering</t>
  </si>
  <si>
    <t>Exception handling</t>
  </si>
  <si>
    <t>Are problems resolved under control?</t>
  </si>
  <si>
    <t>Exception workflow with maker-checker and reasons</t>
  </si>
  <si>
    <t>Can we prove it later?</t>
  </si>
  <si>
    <t>Append-only audit_log (Section 18)</t>
  </si>
  <si>
    <t>Rule</t>
  </si>
  <si>
    <t>Rule logic</t>
  </si>
  <si>
    <t>Severity</t>
  </si>
  <si>
    <t>Expected exceptions (raw data)</t>
  </si>
  <si>
    <t>Defect</t>
  </si>
  <si>
    <t>Pass on clean data? (Y/N)</t>
  </si>
  <si>
    <t>DQ-C01</t>
  </si>
  <si>
    <t>loan.interest_rate IS NOT NULL</t>
  </si>
  <si>
    <t>Critical</t>
  </si>
  <si>
    <t>1 (LN1018)</t>
  </si>
  <si>
    <t>DQ-C02</t>
  </si>
  <si>
    <t>customer.obligor_rating IS NOT NULL</t>
  </si>
  <si>
    <t>1 (C0019)</t>
  </si>
  <si>
    <t>DQ-C03</t>
  </si>
  <si>
    <t>customer.naics_code IS NOT NULL</t>
  </si>
  <si>
    <t>Warning</t>
  </si>
  <si>
    <t>1 (C0014)</t>
  </si>
  <si>
    <t>DQ-C04</t>
  </si>
  <si>
    <t>Every loan has a balance row for the as-of date</t>
  </si>
  <si>
    <t>1 (LN1033)</t>
  </si>
  <si>
    <t>DQ-V01</t>
  </si>
  <si>
    <t>obligor_rating BETWEEN 1 AND 10</t>
  </si>
  <si>
    <t>DQ-V02</t>
  </si>
  <si>
    <t>status_code exists in code_map (STATUS)</t>
  </si>
  <si>
    <t>1 (LN1029)</t>
  </si>
  <si>
    <t>DQ-V03</t>
  </si>
  <si>
    <t>product_code exists in code_map (PRODUCT)</t>
  </si>
  <si>
    <t>DQ-U01</t>
  </si>
  <si>
    <t>One balance row per loan_id + as_of_date</t>
  </si>
  <si>
    <t>1 (LN1025)</t>
  </si>
  <si>
    <t>DQ-U02</t>
  </si>
  <si>
    <t>One status row per loan_id + effective_date</t>
  </si>
  <si>
    <t>1 (LN1015)</t>
  </si>
  <si>
    <t>DQ-A01</t>
  </si>
  <si>
    <t>outstanding_bal ≥ 0</t>
  </si>
  <si>
    <t>1 (LN1021)</t>
  </si>
  <si>
    <t>DQ-A02</t>
  </si>
  <si>
    <t>outstanding_bal ≤ commitment_amt</t>
  </si>
  <si>
    <t>1 (LN1010)</t>
  </si>
  <si>
    <t>DQ-A03</t>
  </si>
  <si>
    <t>C&amp;I product must not have CRE collateral</t>
  </si>
  <si>
    <t>5 (LN1007, LN1014, LN1024, LN1036, LN1040)</t>
  </si>
  <si>
    <t>DQ-R01</t>
  </si>
  <si>
    <t>Balance loan_id exists in loan master</t>
  </si>
  <si>
    <t>1 (LN1041)</t>
  </si>
  <si>
    <t>DQ-R02</t>
  </si>
  <si>
    <t>Loan customer_id exists in customer</t>
  </si>
  <si>
    <t>1 (LN1038)</t>
  </si>
  <si>
    <t>DQ-T01</t>
  </si>
  <si>
    <t>valuation_date ≥ as-of date − 24 months</t>
  </si>
  <si>
    <t>1 (CL2006)</t>
  </si>
  <si>
    <t>Status</t>
  </si>
  <si>
    <t>Meaning</t>
  </si>
  <si>
    <t>Who</t>
  </si>
  <si>
    <t>Next</t>
  </si>
  <si>
    <t>OPEN</t>
  </si>
  <si>
    <t>Raised by a rule run</t>
  </si>
  <si>
    <t>System</t>
  </si>
  <si>
    <t>FIX_PROPOSED, OVERRIDE_PROPOSED, ACCEPTED (warnings only)</t>
  </si>
  <si>
    <t>FIX_PROPOSED</t>
  </si>
  <si>
    <t>Corrected source file or record supplied</t>
  </si>
  <si>
    <t>Data Analyst</t>
  </si>
  <si>
    <t>RESOLVED once the rerun passes</t>
  </si>
  <si>
    <t>OVERRIDE_PROPOSED</t>
  </si>
  <si>
    <t>Value changed in curated with a reason</t>
  </si>
  <si>
    <t>Data Analyst (maker)</t>
  </si>
  <si>
    <t>OVERRIDDEN after checker approval, or back to OPEN</t>
  </si>
  <si>
    <t>OVERRIDDEN</t>
  </si>
  <si>
    <t>Override approved</t>
  </si>
  <si>
    <t>Report Reviewer (checker ≠ maker)</t>
  </si>
  <si>
    <t>Closed; before/after in audit</t>
  </si>
  <si>
    <t>ACCEPTED</t>
  </si>
  <si>
    <t>Warning acknowledged with comment</t>
  </si>
  <si>
    <t>Report Reviewer</t>
  </si>
  <si>
    <t>Closed</t>
  </si>
  <si>
    <t>RESOLVED</t>
  </si>
  <si>
    <t>Rule passes on rerun</t>
  </si>
  <si>
    <t>Reconciliation</t>
  </si>
  <si>
    <t>Expected result on sample data</t>
  </si>
  <si>
    <t>Tolerance</t>
  </si>
  <si>
    <t>Outcome</t>
  </si>
  <si>
    <t>RC-01</t>
  </si>
  <si>
    <t>File trailer / row count vs staging count (each file)</t>
  </si>
  <si>
    <t>Match for all 6 files (balance file: 41 = 41)</t>
  </si>
  <si>
    <t>0 rows</t>
  </si>
  <si>
    <t>Pass</t>
  </si>
  <si>
    <t>RC-02</t>
  </si>
  <si>
    <t>Balance amount: file vs staging</t>
  </si>
  <si>
    <t>$279,700,000 = $279,700,000</t>
  </si>
  <si>
    <t>$0</t>
  </si>
  <si>
    <t>RC-03</t>
  </si>
  <si>
    <t>Staging → curated balance count</t>
  </si>
  <si>
    <t>41 → 40</t>
  </si>
  <si>
    <t>Every difference itemized</t>
  </si>
  <si>
    <t>Explained (bridge below)</t>
  </si>
  <si>
    <t>RC-04</t>
  </si>
  <si>
    <t>Staging → curated balance amount</t>
  </si>
  <si>
    <t>$279.7M → $286.6M</t>
  </si>
  <si>
    <t>RC-05</t>
  </si>
  <si>
    <t>Curated vs GL 141000 (C&amp;I)</t>
  </si>
  <si>
    <t>$83,550,000 vs $85,950,000</t>
  </si>
  <si>
    <t>$1,000 or 0.01%</t>
  </si>
  <si>
    <t>Break $2.4M → explained: LN1041 not in loan master</t>
  </si>
  <si>
    <t>RC-06</t>
  </si>
  <si>
    <t>Curated vs GL 142000 (CRE)</t>
  </si>
  <si>
    <t>$203,050,000 vs $203,050,000</t>
  </si>
  <si>
    <t>RC-07</t>
  </si>
  <si>
    <t>Curated → R1 report (count, utilized, committed)</t>
  </si>
  <si>
    <t>40 / $286.6M</t>
  </si>
  <si>
    <t>$1</t>
  </si>
  <si>
    <t>Pass (RR01–RR03)</t>
  </si>
  <si>
    <t>RC-08</t>
  </si>
  <si>
    <t>calc_result → R2 losses by scenario</t>
  </si>
  <si>
    <t>$6.52M / $11.86M / $24.18M</t>
  </si>
  <si>
    <t>Pass (RR04)</t>
  </si>
  <si>
    <t>Step</t>
  </si>
  <si>
    <t>Rows</t>
  </si>
  <si>
    <t>Amount</t>
  </si>
  <si>
    <t>Reason</t>
  </si>
  <si>
    <t>Source balance file</t>
  </si>
  <si>
    <t>41</t>
  </si>
  <si>
    <t>$279,700,000</t>
  </si>
  <si>
    <t>As received</t>
  </si>
  <si>
    <t>Remove duplicate LN1025</t>
  </si>
  <si>
    <t>−1</t>
  </si>
  <si>
    <t>−$3,900,000</t>
  </si>
  <si>
    <t>Exclude orphan LN1041</t>
  </si>
  <si>
    <t>−$2,400,000</t>
  </si>
  <si>
    <t>D06 (stays in GL break RC-05)</t>
  </si>
  <si>
    <t>Correct LN1021 sign (−$2.25M → +$2.25M)</t>
  </si>
  <si>
    <t>+$4,500,000</t>
  </si>
  <si>
    <t>Add supplementary LN1033</t>
  </si>
  <si>
    <t>+1</t>
  </si>
  <si>
    <t>+$8,700,000</t>
  </si>
  <si>
    <t>Curated balance</t>
  </si>
  <si>
    <t>40</t>
  </si>
  <si>
    <t>$286,600,000</t>
  </si>
  <si>
    <t>Ties to R1</t>
  </si>
  <si>
    <t>Add LN1041 (explained break)</t>
  </si>
  <si>
    <t>+$2,400,000</t>
  </si>
  <si>
    <t>Booked after master cut-off</t>
  </si>
  <si>
    <t>GL total (141000 + 142000)</t>
  </si>
  <si>
    <t>$289,000,000</t>
  </si>
  <si>
    <t>Ties</t>
  </si>
  <si>
    <t>Control</t>
  </si>
  <si>
    <t>Type</t>
  </si>
  <si>
    <t>Owner</t>
  </si>
  <si>
    <t>Evidence</t>
  </si>
  <si>
    <t>CTL-01</t>
  </si>
  <si>
    <t>File presence, as-of date and row-count check on ingestion</t>
  </si>
  <si>
    <t>Preventive</t>
  </si>
  <si>
    <t>Ingest</t>
  </si>
  <si>
    <t>Data Engineer</t>
  </si>
  <si>
    <t>ctl.file_control, audit LOAD events</t>
  </si>
  <si>
    <t>CTL-02</t>
  </si>
  <si>
    <t>Mapping changes need checker approval and are versioned</t>
  </si>
  <si>
    <t>Map</t>
  </si>
  <si>
    <t>BA / Reviewer</t>
  </si>
  <si>
    <t>ref.code_map versions, audit MAPPING_CHANGE</t>
  </si>
  <si>
    <t>CTL-03</t>
  </si>
  <si>
    <t>15 DQ rules run every time; results stored</t>
  </si>
  <si>
    <t>Detective</t>
  </si>
  <si>
    <t>DQ</t>
  </si>
  <si>
    <t>dq_exception, scorecard</t>
  </si>
  <si>
    <t>CTL-04</t>
  </si>
  <si>
    <t>Calculation blocked while critical exceptions are open</t>
  </si>
  <si>
    <t>DQ → Calc</t>
  </si>
  <si>
    <t>calc_run status DQ_BLOCKED</t>
  </si>
  <si>
    <t>CTL-05</t>
  </si>
  <si>
    <t>Overrides need a reason and a different approver</t>
  </si>
  <si>
    <t>Reviewer</t>
  </si>
  <si>
    <t>audit OVERRIDE with before/after</t>
  </si>
  <si>
    <t>CTL-06</t>
  </si>
  <si>
    <t>Only ACTIVE scenario and parameter versions usable</t>
  </si>
  <si>
    <t>Risk Analyst lead</t>
  </si>
  <si>
    <t>calc_run.scenario_versions</t>
  </si>
  <si>
    <t>CTL-07</t>
  </si>
  <si>
    <t>Calculation integrity checks (ranges, completeness, ordering)</t>
  </si>
  <si>
    <t>Calc</t>
  </si>
  <si>
    <t>System / QA</t>
  </si>
  <si>
    <t>calc_run check results</t>
  </si>
  <si>
    <t>CTL-08</t>
  </si>
  <si>
    <t>Source → curated → report → GL reconciliation with commented breaks</t>
  </si>
  <si>
    <t>Recon</t>
  </si>
  <si>
    <t>recon_result, bridge</t>
  </si>
  <si>
    <t>CTL-09</t>
  </si>
  <si>
    <t>Report edit checks E01–E11 must pass before review</t>
  </si>
  <si>
    <t>Report</t>
  </si>
  <si>
    <t>report check results</t>
  </si>
  <si>
    <t>CTL-10</t>
  </si>
  <si>
    <t>Maker-checker approval; Controller sign-off and attestation on R2</t>
  </si>
  <si>
    <t>Reviewer, Controller</t>
  </si>
  <si>
    <t>reg_report status history</t>
  </si>
  <si>
    <t>CTL-11</t>
  </si>
  <si>
    <t>Approved reports locked; changes create new versions; exports hashed</t>
  </si>
  <si>
    <t>report versions, SHA-256 in audit EXPORT</t>
  </si>
  <si>
    <t>CTL-12</t>
  </si>
  <si>
    <t>Audit log append-only (DB trigger rejects UPDATE/DELETE)</t>
  </si>
  <si>
    <t>All</t>
  </si>
  <si>
    <t>Trigger definition, test evidence</t>
  </si>
  <si>
    <t>Variable</t>
  </si>
  <si>
    <t>Baseline (BASE)</t>
  </si>
  <si>
    <t>Moderate Stress (MOD)</t>
  </si>
  <si>
    <t>Severe Stress (SEV)</t>
  </si>
  <si>
    <t>Used in</t>
  </si>
  <si>
    <t>Peak unemployment rate</t>
  </si>
  <si>
    <t>4.3%</t>
  </si>
  <si>
    <t>7.0%</t>
  </si>
  <si>
    <t>10.0%</t>
  </si>
  <si>
    <t>Narrative only</t>
  </si>
  <si>
    <t>Real GDP, peak to trough</t>
  </si>
  <si>
    <t>+1.8% (growth)</t>
  </si>
  <si>
    <t>−1.5%</t>
  </si>
  <si>
    <t>−4.0%</t>
  </si>
  <si>
    <t>CRE price change</t>
  </si>
  <si>
    <t>0%</t>
  </si>
  <si>
    <t>−20%</t>
  </si>
  <si>
    <t>−40%</t>
  </si>
  <si>
    <t>LGD (CRE collateral)</t>
  </si>
  <si>
    <t>BBB corporate spread, peak</t>
  </si>
  <si>
    <t>1.5 pts</t>
  </si>
  <si>
    <t>3.0 pts</t>
  </si>
  <si>
    <t>5.0 pts</t>
  </si>
  <si>
    <t>PD multiplier, C&amp;I</t>
  </si>
  <si>
    <t>1.0×</t>
  </si>
  <si>
    <t>1.8×</t>
  </si>
  <si>
    <t>3.0×</t>
  </si>
  <si>
    <t>PD</t>
  </si>
  <si>
    <t>PD multiplier, CRE</t>
  </si>
  <si>
    <t>2.0×</t>
  </si>
  <si>
    <t>3.5×</t>
  </si>
  <si>
    <t>Haircut on equipment / receivables collateral</t>
  </si>
  <si>
    <t>15%</t>
  </si>
  <si>
    <t>30%</t>
  </si>
  <si>
    <t>LGD (non-CRE collateral)</t>
  </si>
  <si>
    <t>PPNR factor</t>
  </si>
  <si>
    <t>0.85</t>
  </si>
  <si>
    <t>PPNR</t>
  </si>
  <si>
    <t>Parameter</t>
  </si>
  <si>
    <t>Value</t>
  </si>
  <si>
    <t>Label</t>
  </si>
  <si>
    <t>Base annual PD by rating 1–10</t>
  </si>
  <si>
    <t>0.05%, 0.10%, 0.30%, 0.80%, 2.00%, 4.00%, 8.00%, 15.00%, 30.00%, 100%</t>
  </si>
  <si>
    <t>[POC]</t>
  </si>
  <si>
    <t>PD for DPD30 / DPD60 loans</t>
  </si>
  <si>
    <t>max(rating PD, 15%)</t>
  </si>
  <si>
    <t>PD for DPD90 / NONACCRUAL loans</t>
  </si>
  <si>
    <t>100% (treated as defaulted)</t>
  </si>
  <si>
    <t>[POC], consistent with the common 90-days-past-due default definition</t>
  </si>
  <si>
    <t>Horizon factor (annual → 9-quarter)</t>
  </si>
  <si>
    <t>2.25</t>
  </si>
  <si>
    <t>[POC] linear; a model would use 1 − (1 − PD)^2.25 or quarterly PDs</t>
  </si>
  <si>
    <t>Credit conversion factor (CCF)</t>
  </si>
  <si>
    <t>50% on all undrawn amounts</t>
  </si>
  <si>
    <t>[POC]; [CCAR] US standardized approach uses 50% for commitments over one year, 20% for one year or less</t>
  </si>
  <si>
    <t>Unsecured LGD</t>
  </si>
  <si>
    <t>45%</t>
  </si>
  <si>
    <t>[POC]; same figure as the Basel foundation-IRB senior unsecured LGD</t>
  </si>
  <si>
    <t>LGD floor / cap for secured loans</t>
  </si>
  <si>
    <t>10% / 45%</t>
  </si>
  <si>
    <t>Recovery (liquidation) cost</t>
  </si>
  <si>
    <t>10% of stressed collateral value</t>
  </si>
  <si>
    <t>Risk weight: C&amp;I, non-HVCRE CRE</t>
  </si>
  <si>
    <t>100%</t>
  </si>
  <si>
    <t>[CCAR] US standardized approach, simplified</t>
  </si>
  <si>
    <t>Risk weight: HVCRE, or 90+ DPD / nonaccrual</t>
  </si>
  <si>
    <t>150%</t>
  </si>
  <si>
    <t>Tax rate</t>
  </si>
  <si>
    <t>21%</t>
  </si>
  <si>
    <t>[ASSUMPTION] US federal statutory rate; no state tax or deferred tax</t>
  </si>
  <si>
    <t>Loan</t>
  </si>
  <si>
    <t>Outstanding</t>
  </si>
  <si>
    <t>Undrawn</t>
  </si>
  <si>
    <t>EAD</t>
  </si>
  <si>
    <t>PD base</t>
  </si>
  <si>
    <t>PD 9Q</t>
  </si>
  <si>
    <t>LGD</t>
  </si>
  <si>
    <t>Stress loss</t>
  </si>
  <si>
    <t>LN1012 C&amp;I term, rating 5, unsecured</t>
  </si>
  <si>
    <t>Baseline</t>
  </si>
  <si>
    <t>$6,250,000</t>
  </si>
  <si>
    <t>$1,750,000</t>
  </si>
  <si>
    <t>$7,125,000</t>
  </si>
  <si>
    <t>2.00%</t>
  </si>
  <si>
    <t>4.50%</t>
  </si>
  <si>
    <t>45.00%</t>
  </si>
  <si>
    <t>$144,281.25</t>
  </si>
  <si>
    <t>Severe</t>
  </si>
  <si>
    <t>13.50%</t>
  </si>
  <si>
    <t>$432,843.75</t>
  </si>
  <si>
    <t>LN1019 CRE office, rating 5, $36M collateral</t>
  </si>
  <si>
    <t>$27,500,000</t>
  </si>
  <si>
    <t>$2,500,000</t>
  </si>
  <si>
    <t>$28,750,000</t>
  </si>
  <si>
    <t>15.75%</t>
  </si>
  <si>
    <t>32.38%</t>
  </si>
  <si>
    <t>$1,466,325.00</t>
  </si>
  <si>
    <t>LN1030 C&amp;I revolver, DPD90 (defaulted)</t>
  </si>
  <si>
    <t>Any</t>
  </si>
  <si>
    <t>$1,950,000</t>
  </si>
  <si>
    <t>$50,000</t>
  </si>
  <si>
    <t>$1,975,000</t>
  </si>
  <si>
    <t>45.00% (capped)</t>
  </si>
  <si>
    <t>$888,750.00</t>
  </si>
  <si>
    <t>Source / calculation</t>
  </si>
  <si>
    <t>Applies to</t>
  </si>
  <si>
    <t>Reporting date</t>
  </si>
  <si>
    <t>calc_run.as_of_date</t>
  </si>
  <si>
    <t>Both</t>
  </si>
  <si>
    <t>Loan ID, Obligor ID, Obligor name</t>
  </si>
  <si>
    <t>cur.loan_master, cur.customer</t>
  </si>
  <si>
    <t>Industry (NAICS) and state</t>
  </si>
  <si>
    <t>Obligor internal rating</t>
  </si>
  <si>
    <t>cur.customer.obligor_rating</t>
  </si>
  <si>
    <t>Facility type</t>
  </si>
  <si>
    <t>cur.loan_master.product_code</t>
  </si>
  <si>
    <t>Origination date, maturity date</t>
  </si>
  <si>
    <t>Committed exposure</t>
  </si>
  <si>
    <t>cur.loan_master.commitment_amt</t>
  </si>
  <si>
    <t>Utilized exposure</t>
  </si>
  <si>
    <t>Interest rate, rate type</t>
  </si>
  <si>
    <t>Days past due, non-accrual flag</t>
  </si>
  <si>
    <t>cur.loan_balance.days_past_due; current_status = NONACCRUAL</t>
  </si>
  <si>
    <t>Collateral type, collateral value</t>
  </si>
  <si>
    <t>cur.collateral (sum per loan)</t>
  </si>
  <si>
    <t>Both (null if unsecured)</t>
  </si>
  <si>
    <t>Property type</t>
  </si>
  <si>
    <t>Derived from product_code</t>
  </si>
  <si>
    <t>CRE only</t>
  </si>
  <si>
    <t>LTV</t>
  </si>
  <si>
    <t>Utilized exposure / collateral value</t>
  </si>
  <si>
    <t>HVCRE flag</t>
  </si>
  <si>
    <t>cur.loan_master.hvcre_flag</t>
  </si>
  <si>
    <t>EAD, risk weight, RWA [POC-added]</t>
  </si>
  <si>
    <t>calc.calc_result (baseline)</t>
  </si>
  <si>
    <t>Stress loss by scenario [POC-added]</t>
  </si>
  <si>
    <t>Line</t>
  </si>
  <si>
    <t>Calculation</t>
  </si>
  <si>
    <t>A1</t>
  </si>
  <si>
    <t>Starting CET1</t>
  </si>
  <si>
    <t>Input (bank-level)</t>
  </si>
  <si>
    <t>A2</t>
  </si>
  <si>
    <t>PPNR, 9 quarters</t>
  </si>
  <si>
    <t>Section 9.7</t>
  </si>
  <si>
    <t>A3</t>
  </si>
  <si>
    <t>Credit losses — C&amp;I</t>
  </si>
  <si>
    <t>SUM(stress_loss) where portfolio = CI</t>
  </si>
  <si>
    <t>A4</t>
  </si>
  <si>
    <t>Credit losses — CRE</t>
  </si>
  <si>
    <t>SUM(stress_loss) where portfolio = CRE</t>
  </si>
  <si>
    <t>A5</t>
  </si>
  <si>
    <t>Total provisions</t>
  </si>
  <si>
    <t>A3 + A4</t>
  </si>
  <si>
    <t>A6</t>
  </si>
  <si>
    <t>Pre-tax net income</t>
  </si>
  <si>
    <t>A2 − A5</t>
  </si>
  <si>
    <t>A7</t>
  </si>
  <si>
    <t>Taxes</t>
  </si>
  <si>
    <t>A6 × 21%</t>
  </si>
  <si>
    <t>A8</t>
  </si>
  <si>
    <t>Net income</t>
  </si>
  <si>
    <t>A6 − A7</t>
  </si>
  <si>
    <t>A9</t>
  </si>
  <si>
    <t>Common dividends</t>
  </si>
  <si>
    <t>Input: $0.5M × 9</t>
  </si>
  <si>
    <t>A10</t>
  </si>
  <si>
    <t>Ending CET1</t>
  </si>
  <si>
    <t>A1 + A8 − A9</t>
  </si>
  <si>
    <t>A11</t>
  </si>
  <si>
    <t>Total RWA</t>
  </si>
  <si>
    <t>Loan RWA + other RWA</t>
  </si>
  <si>
    <t>A12</t>
  </si>
  <si>
    <t>Starting / ending CET1 ratio</t>
  </si>
  <si>
    <t>A1 / A11, A10 / A11</t>
  </si>
  <si>
    <t>A13</t>
  </si>
  <si>
    <t>Illustrative SCB [POC]</t>
  </si>
  <si>
    <t>max(2.5%, start ratio − end ratio + 4 quarters of dividends / A11)</t>
  </si>
  <si>
    <t>Result</t>
  </si>
  <si>
    <t>E01</t>
  </si>
  <si>
    <t>Utilized exposure ≤ committed exposure</t>
  </si>
  <si>
    <t>Error</t>
  </si>
  <si>
    <t>E02</t>
  </si>
  <si>
    <t>Maturity date &gt; origination date</t>
  </si>
  <si>
    <t>E03</t>
  </si>
  <si>
    <t>Internal rating between 1 and 10</t>
  </si>
  <si>
    <t>E04</t>
  </si>
  <si>
    <t>R1-CRE rows must have property type and collateral value</t>
  </si>
  <si>
    <t>E05</t>
  </si>
  <si>
    <t>Loan ID is unique within an extract</t>
  </si>
  <si>
    <t>E06</t>
  </si>
  <si>
    <t>R1-CORP contains no CRE product; R1-CRE contains no C&amp;I product</t>
  </si>
  <si>
    <t>E07</t>
  </si>
  <si>
    <t>LTV between 0% and 150%</t>
  </si>
  <si>
    <t>E08</t>
  </si>
  <si>
    <t>Non-accrual = Y implies internal rating ≥ 7</t>
  </si>
  <si>
    <t>E09</t>
  </si>
  <si>
    <t>R2: A10 = A1 + A8 − A9 (tolerance $1)</t>
  </si>
  <si>
    <t>E10</t>
  </si>
  <si>
    <t>R2: Severe losses ≥ Moderate ≥ Baseline</t>
  </si>
  <si>
    <t>E11</t>
  </si>
  <si>
    <t>R2: CET1 ratio recomputes from A10 / A11 within 0.01%</t>
  </si>
  <si>
    <t>RR01</t>
  </si>
  <si>
    <t>R1 row count (CORP + CRE) = curated loan count (40)</t>
  </si>
  <si>
    <t>RR02</t>
  </si>
  <si>
    <t>R1 utilized total = curated outstanding total ($286.6M)</t>
  </si>
  <si>
    <t>RR03</t>
  </si>
  <si>
    <t>R1 committed total = curated commitment total</t>
  </si>
  <si>
    <t>RR04</t>
  </si>
  <si>
    <t>R2 losses (A5) = SUM of R1 loss column for that scenario = SUM(calc_result)</t>
  </si>
  <si>
    <t>RR05</t>
  </si>
  <si>
    <t>R1 utilized by portfolio = GL 141000 / 142000, less explained items</t>
  </si>
  <si>
    <t>Raw source file loansys_customer.csv as received (contains seeded defects). Also in data/landing/2026-06-30/.</t>
  </si>
  <si>
    <t>C0001</t>
  </si>
  <si>
    <t>Blue Ridge Logistics Inc</t>
  </si>
  <si>
    <t>484121</t>
  </si>
  <si>
    <t>VA</t>
  </si>
  <si>
    <t>2012-04-02</t>
  </si>
  <si>
    <t>C0002</t>
  </si>
  <si>
    <t>Canyon Foods Distribution LLC</t>
  </si>
  <si>
    <t>424410</t>
  </si>
  <si>
    <t>AZ</t>
  </si>
  <si>
    <t>2015-09-14</t>
  </si>
  <si>
    <t>C0003</t>
  </si>
  <si>
    <t>Harborview Office Partners LP</t>
  </si>
  <si>
    <t>531120</t>
  </si>
  <si>
    <t>MA</t>
  </si>
  <si>
    <t>2016-01-20</t>
  </si>
  <si>
    <t>C0004</t>
  </si>
  <si>
    <t>Prairie Ag Equipment Co</t>
  </si>
  <si>
    <t>423820</t>
  </si>
  <si>
    <t>KS</t>
  </si>
  <si>
    <t>2011-06-30</t>
  </si>
  <si>
    <t>C0005</t>
  </si>
  <si>
    <t>Summit Medical Devices Inc</t>
  </si>
  <si>
    <t>339112</t>
  </si>
  <si>
    <t>MN</t>
  </si>
  <si>
    <t>2018-03-05</t>
  </si>
  <si>
    <t>C0006</t>
  </si>
  <si>
    <t>Riverbend Apartments LLC</t>
  </si>
  <si>
    <t>531110</t>
  </si>
  <si>
    <t>TX</t>
  </si>
  <si>
    <t>2017-07-11</t>
  </si>
  <si>
    <t>C0008</t>
  </si>
  <si>
    <t>Golden Gate Retail Center LP</t>
  </si>
  <si>
    <t>CA</t>
  </si>
  <si>
    <t>2013-10-22</t>
  </si>
  <si>
    <t>C0009</t>
  </si>
  <si>
    <t>Keystone Building Supply Inc</t>
  </si>
  <si>
    <t>444110</t>
  </si>
  <si>
    <t>PA</t>
  </si>
  <si>
    <t>2019-02-18</t>
  </si>
  <si>
    <t>C0010</t>
  </si>
  <si>
    <t>Metro Industrial Park LLC</t>
  </si>
  <si>
    <t>531130</t>
  </si>
  <si>
    <t>IL</t>
  </si>
  <si>
    <t>2016-08-09</t>
  </si>
  <si>
    <t>C0011</t>
  </si>
  <si>
    <t>Coastal Seafood Processors Inc</t>
  </si>
  <si>
    <t>311710</t>
  </si>
  <si>
    <t>ME</t>
  </si>
  <si>
    <t>2010-05-17</t>
  </si>
  <si>
    <t>C0012</t>
  </si>
  <si>
    <t>Pinecrest Senior Living LLC</t>
  </si>
  <si>
    <t>NC</t>
  </si>
  <si>
    <t>2020-01-06</t>
  </si>
  <si>
    <t>C0013</t>
  </si>
  <si>
    <t>Ironclad Security Services Inc</t>
  </si>
  <si>
    <t>561612</t>
  </si>
  <si>
    <t>GA</t>
  </si>
  <si>
    <t>2018-11-13</t>
  </si>
  <si>
    <t>C0014</t>
  </si>
  <si>
    <t>Northstar Software Solutions Inc</t>
  </si>
  <si>
    <t>WA</t>
  </si>
  <si>
    <t>2021-04-26</t>
  </si>
  <si>
    <t>C0015</t>
  </si>
  <si>
    <t>Desert Sun Hospitality Group LLC</t>
  </si>
  <si>
    <t>721110</t>
  </si>
  <si>
    <t>NV</t>
  </si>
  <si>
    <t>2015-12-01</t>
  </si>
  <si>
    <t>C0016</t>
  </si>
  <si>
    <t>Great Lakes Plastics Corp</t>
  </si>
  <si>
    <t>326199</t>
  </si>
  <si>
    <t>MI</t>
  </si>
  <si>
    <t>2012-09-24</t>
  </si>
  <si>
    <t>C0017</t>
  </si>
  <si>
    <t>Midtown Office Tower LLC</t>
  </si>
  <si>
    <t>NY</t>
  </si>
  <si>
    <t>2014-06-16</t>
  </si>
  <si>
    <t>C0018</t>
  </si>
  <si>
    <t>Sunbelt Distribution Center LP</t>
  </si>
  <si>
    <t>FL</t>
  </si>
  <si>
    <t>2019-05-07</t>
  </si>
  <si>
    <t>C0019</t>
  </si>
  <si>
    <t>Heritage Furniture Makers Inc</t>
  </si>
  <si>
    <t>337122</t>
  </si>
  <si>
    <t>2011-02-14</t>
  </si>
  <si>
    <t>C0020</t>
  </si>
  <si>
    <t>Bayou Energy Services LLC</t>
  </si>
  <si>
    <t>213112</t>
  </si>
  <si>
    <t>LA</t>
  </si>
  <si>
    <t>2013-08-19</t>
  </si>
  <si>
    <t>C0021</t>
  </si>
  <si>
    <t>Oakwood Garden Apartments LP</t>
  </si>
  <si>
    <t>2018-10-03</t>
  </si>
  <si>
    <t>C0022</t>
  </si>
  <si>
    <t>Frontier Trucking Co</t>
  </si>
  <si>
    <t>NE</t>
  </si>
  <si>
    <t>2017-03-27</t>
  </si>
  <si>
    <t>C0023</t>
  </si>
  <si>
    <t>Crescent Plaza Shopping Center LLC</t>
  </si>
  <si>
    <t>2012-12-10</t>
  </si>
  <si>
    <t>C0024</t>
  </si>
  <si>
    <t>Evergreen Pharma Packaging Inc</t>
  </si>
  <si>
    <t>325412</t>
  </si>
  <si>
    <t>NJ</t>
  </si>
  <si>
    <t>2020-07-15</t>
  </si>
  <si>
    <t>C0025</t>
  </si>
  <si>
    <t>Silverline Auto Parts Inc</t>
  </si>
  <si>
    <t>441310</t>
  </si>
  <si>
    <t>TN</t>
  </si>
  <si>
    <t>2016-05-23</t>
  </si>
  <si>
    <t>Raw source file loansys_loan.csv as received (contains seeded defects). Also in data/landing/2026-06-30/.</t>
  </si>
  <si>
    <t>orig_date</t>
  </si>
  <si>
    <t>LN1001</t>
  </si>
  <si>
    <t>2021-03-15</t>
  </si>
  <si>
    <t>2028-03-15</t>
  </si>
  <si>
    <t>LN1002</t>
  </si>
  <si>
    <t>2023-01-10</t>
  </si>
  <si>
    <t>2027-01-10</t>
  </si>
  <si>
    <t>LN1003</t>
  </si>
  <si>
    <t>2022-06-01</t>
  </si>
  <si>
    <t>2027-06-01</t>
  </si>
  <si>
    <t>LN1004</t>
  </si>
  <si>
    <t>2019-09-30</t>
  </si>
  <si>
    <t>2029-09-30</t>
  </si>
  <si>
    <t>FIXED</t>
  </si>
  <si>
    <t>LN1005</t>
  </si>
  <si>
    <t>2020-11-20</t>
  </si>
  <si>
    <t>2027-11-20</t>
  </si>
  <si>
    <t>LN1006</t>
  </si>
  <si>
    <t>2024-02-12</t>
  </si>
  <si>
    <t>2029-02-12</t>
  </si>
  <si>
    <t>LN1007</t>
  </si>
  <si>
    <t>2018-05-01</t>
  </si>
  <si>
    <t>2028-05-01</t>
  </si>
  <si>
    <t>LN1008</t>
  </si>
  <si>
    <t>2021-08-18</t>
  </si>
  <si>
    <t>2026-12-18</t>
  </si>
  <si>
    <t>LN1009</t>
  </si>
  <si>
    <t>2017-04-11</t>
  </si>
  <si>
    <t>2027-04-11</t>
  </si>
  <si>
    <t>LN1010</t>
  </si>
  <si>
    <t>2022-10-05</t>
  </si>
  <si>
    <t>2027-10-05</t>
  </si>
  <si>
    <t>LN1011</t>
  </si>
  <si>
    <t>2020-02-28</t>
  </si>
  <si>
    <t>2030-02-28</t>
  </si>
  <si>
    <t>LN1013</t>
  </si>
  <si>
    <t>2019-07-22</t>
  </si>
  <si>
    <t>2026-07-22</t>
  </si>
  <si>
    <t>LN1014</t>
  </si>
  <si>
    <t>2021-12-15</t>
  </si>
  <si>
    <t>2031-12-15</t>
  </si>
  <si>
    <t>LN1015</t>
  </si>
  <si>
    <t>2023-04-03</t>
  </si>
  <si>
    <t>2028-04-03</t>
  </si>
  <si>
    <t>LN1016</t>
  </si>
  <si>
    <t>2024-06-28</t>
  </si>
  <si>
    <t>2029-06-28</t>
  </si>
  <si>
    <t>LN1017</t>
  </si>
  <si>
    <t>2016-03-18</t>
  </si>
  <si>
    <t>2026-09-18</t>
  </si>
  <si>
    <t>LN1018</t>
  </si>
  <si>
    <t>2020-09-09</t>
  </si>
  <si>
    <t>2027-09-09</t>
  </si>
  <si>
    <t>LN1019</t>
  </si>
  <si>
    <t>2018-11-01</t>
  </si>
  <si>
    <t>2028-11-01</t>
  </si>
  <si>
    <t>LN1020</t>
  </si>
  <si>
    <t>2021-06-14</t>
  </si>
  <si>
    <t>2031-06-14</t>
  </si>
  <si>
    <t>LN1021</t>
  </si>
  <si>
    <t>2019-01-25</t>
  </si>
  <si>
    <t>2027-01-25</t>
  </si>
  <si>
    <t>LN1022</t>
  </si>
  <si>
    <t>2022-03-30</t>
  </si>
  <si>
    <t>2027-03-30</t>
  </si>
  <si>
    <t>2025-01-15</t>
  </si>
  <si>
    <t>2028-01-15</t>
  </si>
  <si>
    <t>Y</t>
  </si>
  <si>
    <t>LN1024</t>
  </si>
  <si>
    <t>2019-08-20</t>
  </si>
  <si>
    <t>2029-08-20</t>
  </si>
  <si>
    <t>LN1025</t>
  </si>
  <si>
    <t>2021-10-12</t>
  </si>
  <si>
    <t>2028-10-12</t>
  </si>
  <si>
    <t>LN1026</t>
  </si>
  <si>
    <t>2015-07-07</t>
  </si>
  <si>
    <t>2027-07-07</t>
  </si>
  <si>
    <t>LN1027</t>
  </si>
  <si>
    <t>2023-09-19</t>
  </si>
  <si>
    <t>2028-09-19</t>
  </si>
  <si>
    <t>LN1028</t>
  </si>
  <si>
    <t>2020-04-01</t>
  </si>
  <si>
    <t>2027-04-01</t>
  </si>
  <si>
    <t>LN1029</t>
  </si>
  <si>
    <t>2021-12-01</t>
  </si>
  <si>
    <t>2028-12-01</t>
  </si>
  <si>
    <t>2022-07-15</t>
  </si>
  <si>
    <t>2027-07-15</t>
  </si>
  <si>
    <t>LN1031</t>
  </si>
  <si>
    <t>2022-11-30</t>
  </si>
  <si>
    <t>2032-11-30</t>
  </si>
  <si>
    <t>LN1032</t>
  </si>
  <si>
    <t>2023-05-22</t>
  </si>
  <si>
    <t>2030-05-22</t>
  </si>
  <si>
    <t>LN1033</t>
  </si>
  <si>
    <t>2024-08-08</t>
  </si>
  <si>
    <t>2034-08-08</t>
  </si>
  <si>
    <t>LN1034</t>
  </si>
  <si>
    <t>2022-01-18</t>
  </si>
  <si>
    <t>2027-01-18</t>
  </si>
  <si>
    <t>LN1035</t>
  </si>
  <si>
    <t>2023-02-27</t>
  </si>
  <si>
    <t>2027-02-27</t>
  </si>
  <si>
    <t>LN1036</t>
  </si>
  <si>
    <t>2024-10-01</t>
  </si>
  <si>
    <t>2034-10-01</t>
  </si>
  <si>
    <t>LN1037</t>
  </si>
  <si>
    <t>2024-03-11</t>
  </si>
  <si>
    <t>2028-03-11</t>
  </si>
  <si>
    <t>LN1038</t>
  </si>
  <si>
    <t>C0026</t>
  </si>
  <si>
    <t>2025-02-03</t>
  </si>
  <si>
    <t>2030-02-03</t>
  </si>
  <si>
    <t>LN1039</t>
  </si>
  <si>
    <t>2021-06-25</t>
  </si>
  <si>
    <t>2028-06-25</t>
  </si>
  <si>
    <t>LN1040</t>
  </si>
  <si>
    <t>2025-04-30</t>
  </si>
  <si>
    <t>2035-04-30</t>
  </si>
  <si>
    <t>Raw source file loansys_balance.csv as received (contains seeded defects). Also in data/landing/2026-06-30/.</t>
  </si>
  <si>
    <t>142000</t>
  </si>
  <si>
    <t>LN1041</t>
  </si>
  <si>
    <t>Raw source file loansys_status.csv as received (contains seeded defects). Also in data/landing/2026-06-30/.</t>
  </si>
  <si>
    <t>C</t>
  </si>
  <si>
    <t>2021-03-15 06:00:00</t>
  </si>
  <si>
    <t>2023-01-10 06:00:00</t>
  </si>
  <si>
    <t>2022-06-01 06:00:00</t>
  </si>
  <si>
    <t>2019-09-30 06:00:00</t>
  </si>
  <si>
    <t>2020-11-20 06:00:00</t>
  </si>
  <si>
    <t>2024-02-12 06:00:00</t>
  </si>
  <si>
    <t>2018-05-01 06:00:00</t>
  </si>
  <si>
    <t>2021-08-18 06:00:00</t>
  </si>
  <si>
    <t>2017-04-11 06:00:00</t>
  </si>
  <si>
    <t>2022-10-05 06:00:00</t>
  </si>
  <si>
    <t>2020-02-28 06:00:00</t>
  </si>
  <si>
    <t>2022-05-16 06:00:00</t>
  </si>
  <si>
    <t>2019-07-22 06:00:00</t>
  </si>
  <si>
    <t>2021-12-15 06:00:00</t>
  </si>
  <si>
    <t>2023-04-03 06:00:00</t>
  </si>
  <si>
    <t>2024-06-28 06:00:00</t>
  </si>
  <si>
    <t>2016-03-18 06:00:00</t>
  </si>
  <si>
    <t>2020-09-09 06:00:00</t>
  </si>
  <si>
    <t>2018-11-01 06:00:00</t>
  </si>
  <si>
    <t>2021-06-14 06:00:00</t>
  </si>
  <si>
    <t>2019-01-25 06:00:00</t>
  </si>
  <si>
    <t>2022-03-30 06:00:00</t>
  </si>
  <si>
    <t>2025-01-15 06:00:00</t>
  </si>
  <si>
    <t>2019-08-20 06:00:00</t>
  </si>
  <si>
    <t>2021-10-12 06:00:00</t>
  </si>
  <si>
    <t>2015-07-07 06:00:00</t>
  </si>
  <si>
    <t>2023-09-19 06:00:00</t>
  </si>
  <si>
    <t>2020-04-01 06:00:00</t>
  </si>
  <si>
    <t>2021-12-01 06:00:00</t>
  </si>
  <si>
    <t>2022-07-15 06:00:00</t>
  </si>
  <si>
    <t>2022-11-30 06:00:00</t>
  </si>
  <si>
    <t>2023-05-22 06:00:00</t>
  </si>
  <si>
    <t>2024-08-08 06:00:00</t>
  </si>
  <si>
    <t>2022-01-18 06:00:00</t>
  </si>
  <si>
    <t>2023-02-27 06:00:00</t>
  </si>
  <si>
    <t>2024-10-01 06:00:00</t>
  </si>
  <si>
    <t>2024-03-11 06:00:00</t>
  </si>
  <si>
    <t>2025-02-03 06:00:00</t>
  </si>
  <si>
    <t>2021-06-25 06:00:00</t>
  </si>
  <si>
    <t>2025-04-30 06:00:00</t>
  </si>
  <si>
    <t>30</t>
  </si>
  <si>
    <t>2026-06-05</t>
  </si>
  <si>
    <t>2026-06-06 06:00:00</t>
  </si>
  <si>
    <t>2026-05-01</t>
  </si>
  <si>
    <t>2026-05-02 06:00:00</t>
  </si>
  <si>
    <t>60</t>
  </si>
  <si>
    <t>2026-05-31</t>
  </si>
  <si>
    <t>2026-06-01 06:00:00</t>
  </si>
  <si>
    <t>XX</t>
  </si>
  <si>
    <t>2026-05-28</t>
  </si>
  <si>
    <t>2026-05-29 06:00:00</t>
  </si>
  <si>
    <t>2026-04-20</t>
  </si>
  <si>
    <t>2026-04-21 06:00:00</t>
  </si>
  <si>
    <t>2026-05-20</t>
  </si>
  <si>
    <t>2026-05-21 06:00:00</t>
  </si>
  <si>
    <t>2026-06-19</t>
  </si>
  <si>
    <t>2026-06-20 06:00:00</t>
  </si>
  <si>
    <t>2026-05-30</t>
  </si>
  <si>
    <t>2026-05-31 06:00:00</t>
  </si>
  <si>
    <t>2026-06-15</t>
  </si>
  <si>
    <t>2026-06-16 06:00:00</t>
  </si>
  <si>
    <t>2026-06-16 14:30:00</t>
  </si>
  <si>
    <t>NA</t>
  </si>
  <si>
    <t>2026-03-31</t>
  </si>
  <si>
    <t>2026-04-01 06:00:00</t>
  </si>
  <si>
    <t>Raw source file collsys_collateral.csv as received (contains seeded defects). Also in data/landing/2026-06-30/.</t>
  </si>
  <si>
    <t>CL2001</t>
  </si>
  <si>
    <t>EQP</t>
  </si>
  <si>
    <t>2025-09-30</t>
  </si>
  <si>
    <t>CL2002</t>
  </si>
  <si>
    <t>ARI</t>
  </si>
  <si>
    <t>CL2003</t>
  </si>
  <si>
    <t>2025-06-15</t>
  </si>
  <si>
    <t>CL2004</t>
  </si>
  <si>
    <t>2025-12-31</t>
  </si>
  <si>
    <t>MFR</t>
  </si>
  <si>
    <t>2025-10-01</t>
  </si>
  <si>
    <t>CL2006</t>
  </si>
  <si>
    <t>RTL</t>
  </si>
  <si>
    <t>2023-02-10</t>
  </si>
  <si>
    <t>CL2007</t>
  </si>
  <si>
    <t>IND</t>
  </si>
  <si>
    <t>2025-08-20</t>
  </si>
  <si>
    <t>CL2008</t>
  </si>
  <si>
    <t>2025-12-05</t>
  </si>
  <si>
    <t>CL2009</t>
  </si>
  <si>
    <t>2026-01-15</t>
  </si>
  <si>
    <t>CL2010</t>
  </si>
  <si>
    <t>CL2011</t>
  </si>
  <si>
    <t>2026-02-28</t>
  </si>
  <si>
    <t>CL2012</t>
  </si>
  <si>
    <t>2025-07-31</t>
  </si>
  <si>
    <t>CL2013</t>
  </si>
  <si>
    <t>2025-01-05</t>
  </si>
  <si>
    <t>CL2014</t>
  </si>
  <si>
    <t>2025-09-09</t>
  </si>
  <si>
    <t>CL2015</t>
  </si>
  <si>
    <t>2025-11-30</t>
  </si>
  <si>
    <t>CL2016</t>
  </si>
  <si>
    <t>2025-05-19</t>
  </si>
  <si>
    <t>CL2017</t>
  </si>
  <si>
    <t>2026-01-31</t>
  </si>
  <si>
    <t>CL2018</t>
  </si>
  <si>
    <t>CL2019</t>
  </si>
  <si>
    <t>2024-11-30</t>
  </si>
  <si>
    <t>CL2020</t>
  </si>
  <si>
    <t>2024-07-25</t>
  </si>
  <si>
    <t>CL2021</t>
  </si>
  <si>
    <t>2024-09-15</t>
  </si>
  <si>
    <t>CL2022</t>
  </si>
  <si>
    <t>2025-04-10</t>
  </si>
  <si>
    <t>CL2023</t>
  </si>
  <si>
    <t>CL2024</t>
  </si>
  <si>
    <t>Raw source file gl_control.csv as received (contains seeded defects). Also in data/landing/2026-06-30/.</t>
  </si>
  <si>
    <t>gl_balance</t>
  </si>
  <si>
    <t>QA answer key: 120 rows (40 loans x 3 scenarios). Check every squad's calculation output against these.</t>
  </si>
  <si>
    <t>product</t>
  </si>
  <si>
    <t>rating</t>
  </si>
  <si>
    <t>scenario</t>
  </si>
  <si>
    <t>outstanding</t>
  </si>
  <si>
    <t>undrawn</t>
  </si>
  <si>
    <t>cum_pd</t>
  </si>
  <si>
    <t>loss</t>
  </si>
  <si>
    <t>rw</t>
  </si>
  <si>
    <t>rate</t>
  </si>
  <si>
    <t>CURRENT</t>
  </si>
  <si>
    <t>BASE</t>
  </si>
  <si>
    <t>MOD</t>
  </si>
  <si>
    <t>CRE</t>
  </si>
  <si>
    <t>CRE_MULTIFAMILY</t>
  </si>
  <si>
    <t>DPD30</t>
  </si>
  <si>
    <t>NONACCRUAL</t>
  </si>
  <si>
    <t>DPD60</t>
  </si>
  <si>
    <t>Portfolio totals from the Expected Results tab (live formulas). Compare with PRD Section 9.</t>
  </si>
  <si>
    <t>Measure</t>
  </si>
  <si>
    <t>Total EAD ($)</t>
  </si>
  <si>
    <t>Total RWA ($)</t>
  </si>
  <si>
    <t>Stress loss - C&amp;I ($)</t>
  </si>
  <si>
    <t>Stress loss - CRE ($)</t>
  </si>
  <si>
    <t>Stress loss - total ($)</t>
  </si>
  <si>
    <t>Loss rate (% of EAD)</t>
  </si>
  <si>
    <t>Loan count per scenario</t>
  </si>
  <si>
    <t>Capital results (from PRD Section 9.10; produced by scripts/generate_sample_data.py)</t>
  </si>
  <si>
    <t>PPNR, 9 quarters ($)</t>
  </si>
  <si>
    <t>Ending CET1 ($)</t>
  </si>
  <si>
    <t>Ending CET1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</si>
</sst>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color rgb="FFFFFFFF"/>
      <name val="Arial"/>
    </font>
    <font>
      <sz val="10"/>
      <name val="Arial"/>
    </font>
    <font>
      <i/>
      <sz val="9"/>
      <color rgb="FF595959"/>
      <name val="Arial"/>
    </font>
    <font>
      <b/>
      <sz val="11"/>
      <color rgb="FFFFFFFF"/>
      <name val="Arial"/>
    </font>
    <font>
      <sz val="10"/>
      <color rgb="FF0000FF"/>
      <name val="Arial"/>
    </font>
    <font>
      <b/>
      <sz val="16"/>
      <color rgb="FF1F3864"/>
      <name val="Arial"/>
    </font>
    <font>
      <i/>
      <sz val="10"/>
      <color rgb="FF595959"/>
      <name val="Arial"/>
    </font>
    <font>
      <u/>
      <sz val="10"/>
      <color rgb="FF0563C1"/>
      <name val="Arial"/>
    </font>
  </fonts>
  <fills count="3">
    <fill>
      <patternFill patternType="none"/>
    </fill>
    <fill>
      <patternFill patternType="gray125"/>
    </fill>
    <fill>
      <patternFill patternType="solid">
        <fgColor rgb="FF1F38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7">
    <xf numFmtId="0" fontId="0" fillId="0" borderId="0" xfId="0"/>
    <xf numFmtId="0" fontId="6" fillId="0" borderId="0" xfId="0" applyFont="1"/>
    <xf numFmtId="0" fontId="7" fillId="0" borderId="0" xfId="0" applyFont="1"/>
    <xf numFmtId="0" fontId="1" fillId="2" borderId="0" xfId="0" applyFont="1" applyFill="1"/>
    <xf numFmtId="0" fontId="0" fillId="2" borderId="0" xfId="0" applyFill="1"/>
    <xf numFmtId="0" fontId="8" fillId="0" borderId="0" xfId="0" applyFont="1"/>
    <xf numFmtId="0" fontId="2" fillId="0" borderId="0" xfId="0" applyFont="1"/>
    <xf numFmtId="0" fontId="1" fillId="2" borderId="1" xfId="0" applyFont="1" applyFill="1" applyBorder="1" applyAlignment="1">
      <alignment vertical="center" wrapText="1"/>
    </xf>
    <xf numFmtId="0" fontId="2" fillId="0" borderId="1" xfId="0" applyFont="1" applyBorder="1" applyAlignment="1">
      <alignment vertical="top" wrapText="1"/>
    </xf>
    <xf numFmtId="0" fontId="3" fillId="0" borderId="0" xfId="0" applyFont="1"/>
    <xf numFmtId="0" fontId="2" fillId="0" borderId="1" xfId="0" applyFont="1" applyBorder="1" applyAlignment="1">
      <alignment vertical="top"/>
    </xf>
    <xf numFmtId="0" fontId="4" fillId="2" borderId="1" xfId="0" applyFont="1" applyFill="1" applyBorder="1"/>
    <xf numFmtId="0" fontId="2" fillId="0" borderId="1" xfId="0" applyFont="1" applyBorder="1"/>
    <xf numFmtId="3" fontId="2" fillId="0" borderId="1" xfId="0" applyNumberFormat="1" applyFont="1" applyBorder="1"/>
    <xf numFmtId="10" fontId="2" fillId="0" borderId="1" xfId="0" applyNumberFormat="1" applyFont="1" applyBorder="1"/>
    <xf numFmtId="3" fontId="5" fillId="0" borderId="1" xfId="0" applyNumberFormat="1" applyFont="1" applyBorder="1"/>
    <xf numFmtId="10" fontId="5" fillId="0" borderId="1" xfId="0" applyNumberFormat="1"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2"/>
  <sheetViews>
    <sheetView showGridLines="0" tabSelected="1" workbookViewId="0"/>
  </sheetViews>
  <sheetFormatPr defaultRowHeight="14.5" x14ac:dyDescent="0.35"/>
  <cols>
    <col min="1" max="1" width="28" customWidth="1"/>
    <col min="2" max="2" width="80" customWidth="1"/>
  </cols>
  <sheetData>
    <row r="1" spans="1:2" ht="20" x14ac:dyDescent="0.4">
      <c r="A1" s="1" t="s">
        <v>0</v>
      </c>
    </row>
    <row r="2" spans="1:2" x14ac:dyDescent="0.35">
      <c r="A2" s="2" t="s">
        <v>1</v>
      </c>
    </row>
    <row r="3" spans="1:2" x14ac:dyDescent="0.35">
      <c r="A3" s="2" t="s">
        <v>2</v>
      </c>
    </row>
    <row r="5" spans="1:2" x14ac:dyDescent="0.35">
      <c r="A5" s="3" t="s">
        <v>3</v>
      </c>
      <c r="B5" s="4"/>
    </row>
    <row r="6" spans="1:2" x14ac:dyDescent="0.35">
      <c r="A6" s="5" t="s">
        <v>4</v>
      </c>
      <c r="B6" s="6" t="s">
        <v>5</v>
      </c>
    </row>
    <row r="7" spans="1:2" x14ac:dyDescent="0.35">
      <c r="A7" s="5" t="s">
        <v>6</v>
      </c>
      <c r="B7" s="6" t="s">
        <v>7</v>
      </c>
    </row>
    <row r="8" spans="1:2" x14ac:dyDescent="0.35">
      <c r="A8" s="5" t="s">
        <v>8</v>
      </c>
      <c r="B8" s="6" t="s">
        <v>9</v>
      </c>
    </row>
    <row r="10" spans="1:2" x14ac:dyDescent="0.35">
      <c r="A10" s="3" t="s">
        <v>10</v>
      </c>
      <c r="B10" s="4"/>
    </row>
    <row r="11" spans="1:2" x14ac:dyDescent="0.35">
      <c r="A11" s="5" t="s">
        <v>11</v>
      </c>
      <c r="B11" s="6" t="s">
        <v>12</v>
      </c>
    </row>
    <row r="12" spans="1:2" x14ac:dyDescent="0.35">
      <c r="A12" s="5" t="s">
        <v>13</v>
      </c>
      <c r="B12" s="6" t="s">
        <v>14</v>
      </c>
    </row>
    <row r="13" spans="1:2" x14ac:dyDescent="0.35">
      <c r="A13" s="5" t="s">
        <v>15</v>
      </c>
      <c r="B13" s="6" t="s">
        <v>16</v>
      </c>
    </row>
    <row r="14" spans="1:2" x14ac:dyDescent="0.35">
      <c r="A14" s="5" t="s">
        <v>17</v>
      </c>
      <c r="B14" s="6" t="s">
        <v>18</v>
      </c>
    </row>
    <row r="16" spans="1:2" x14ac:dyDescent="0.35">
      <c r="A16" s="3" t="s">
        <v>19</v>
      </c>
      <c r="B16" s="4"/>
    </row>
    <row r="17" spans="1:2" x14ac:dyDescent="0.35">
      <c r="A17" s="5" t="s">
        <v>20</v>
      </c>
      <c r="B17" s="6" t="s">
        <v>21</v>
      </c>
    </row>
    <row r="18" spans="1:2" x14ac:dyDescent="0.35">
      <c r="A18" s="5" t="s">
        <v>22</v>
      </c>
      <c r="B18" s="6" t="s">
        <v>23</v>
      </c>
    </row>
    <row r="19" spans="1:2" x14ac:dyDescent="0.35">
      <c r="A19" s="5" t="s">
        <v>24</v>
      </c>
      <c r="B19" s="6" t="s">
        <v>25</v>
      </c>
    </row>
    <row r="20" spans="1:2" x14ac:dyDescent="0.35">
      <c r="A20" s="5" t="s">
        <v>26</v>
      </c>
      <c r="B20" s="6" t="s">
        <v>27</v>
      </c>
    </row>
    <row r="21" spans="1:2" x14ac:dyDescent="0.35">
      <c r="A21" s="5" t="s">
        <v>28</v>
      </c>
      <c r="B21" s="6" t="s">
        <v>29</v>
      </c>
    </row>
    <row r="22" spans="1:2" x14ac:dyDescent="0.35">
      <c r="A22" s="5" t="s">
        <v>30</v>
      </c>
      <c r="B22" s="6" t="s">
        <v>31</v>
      </c>
    </row>
    <row r="23" spans="1:2" x14ac:dyDescent="0.35">
      <c r="A23" s="5" t="s">
        <v>32</v>
      </c>
      <c r="B23" s="6" t="s">
        <v>33</v>
      </c>
    </row>
    <row r="25" spans="1:2" x14ac:dyDescent="0.35">
      <c r="A25" s="3" t="s">
        <v>34</v>
      </c>
      <c r="B25" s="4"/>
    </row>
    <row r="26" spans="1:2" x14ac:dyDescent="0.35">
      <c r="A26" s="5" t="s">
        <v>35</v>
      </c>
      <c r="B26" s="6" t="s">
        <v>36</v>
      </c>
    </row>
    <row r="27" spans="1:2" x14ac:dyDescent="0.35">
      <c r="A27" s="5" t="s">
        <v>37</v>
      </c>
      <c r="B27" s="6" t="s">
        <v>38</v>
      </c>
    </row>
    <row r="28" spans="1:2" x14ac:dyDescent="0.35">
      <c r="A28" s="5" t="s">
        <v>39</v>
      </c>
      <c r="B28" s="6" t="s">
        <v>40</v>
      </c>
    </row>
    <row r="29" spans="1:2" x14ac:dyDescent="0.35">
      <c r="A29" s="5" t="s">
        <v>41</v>
      </c>
      <c r="B29" s="6" t="s">
        <v>42</v>
      </c>
    </row>
    <row r="30" spans="1:2" x14ac:dyDescent="0.35">
      <c r="A30" s="5" t="s">
        <v>43</v>
      </c>
      <c r="B30" s="6" t="s">
        <v>44</v>
      </c>
    </row>
    <row r="31" spans="1:2" x14ac:dyDescent="0.35">
      <c r="A31" s="5" t="s">
        <v>45</v>
      </c>
      <c r="B31" s="6" t="s">
        <v>46</v>
      </c>
    </row>
    <row r="32" spans="1:2" x14ac:dyDescent="0.35">
      <c r="A32" s="5" t="s">
        <v>47</v>
      </c>
      <c r="B32" s="6" t="s">
        <v>48</v>
      </c>
    </row>
    <row r="34" spans="1:2" x14ac:dyDescent="0.35">
      <c r="A34" s="3" t="s">
        <v>49</v>
      </c>
      <c r="B34" s="4"/>
    </row>
    <row r="35" spans="1:2" x14ac:dyDescent="0.35">
      <c r="A35" s="5" t="s">
        <v>50</v>
      </c>
      <c r="B35" s="6" t="s">
        <v>51</v>
      </c>
    </row>
    <row r="36" spans="1:2" x14ac:dyDescent="0.35">
      <c r="A36" s="5" t="s">
        <v>52</v>
      </c>
      <c r="B36" s="6" t="s">
        <v>53</v>
      </c>
    </row>
    <row r="37" spans="1:2" x14ac:dyDescent="0.35">
      <c r="A37" s="5" t="s">
        <v>54</v>
      </c>
      <c r="B37" s="6" t="s">
        <v>55</v>
      </c>
    </row>
    <row r="38" spans="1:2" x14ac:dyDescent="0.35">
      <c r="A38" s="5" t="s">
        <v>56</v>
      </c>
      <c r="B38" s="6" t="s">
        <v>57</v>
      </c>
    </row>
    <row r="39" spans="1:2" x14ac:dyDescent="0.35">
      <c r="A39" s="5" t="s">
        <v>58</v>
      </c>
      <c r="B39" s="6" t="s">
        <v>59</v>
      </c>
    </row>
    <row r="40" spans="1:2" x14ac:dyDescent="0.35">
      <c r="A40" s="5" t="s">
        <v>60</v>
      </c>
      <c r="B40" s="6" t="s">
        <v>61</v>
      </c>
    </row>
    <row r="41" spans="1:2" x14ac:dyDescent="0.35">
      <c r="A41" s="5" t="s">
        <v>62</v>
      </c>
      <c r="B41" s="6" t="s">
        <v>63</v>
      </c>
    </row>
    <row r="42" spans="1:2" x14ac:dyDescent="0.35">
      <c r="A42" s="5" t="s">
        <v>64</v>
      </c>
      <c r="B42" s="6" t="s">
        <v>65</v>
      </c>
    </row>
  </sheetData>
  <hyperlinks>
    <hyperlink ref="A6" location="'Requirements'!A1" display="Requirements" xr:uid="{00000000-0004-0000-0000-000000000000}"/>
    <hyperlink ref="A7" location="'User Stories'!A1" display="User Stories" xr:uid="{00000000-0004-0000-0000-000001000000}"/>
    <hyperlink ref="A8" location="'Test Scenarios'!A1" display="Test Scenarios" xr:uid="{00000000-0004-0000-0000-000002000000}"/>
    <hyperlink ref="A11" location="'Tables Overview'!A1" display="Tables Overview" xr:uid="{00000000-0004-0000-0000-000003000000}"/>
    <hyperlink ref="A12" location="'Data Dictionary'!A1" display="Data Dictionary" xr:uid="{00000000-0004-0000-0000-000004000000}"/>
    <hyperlink ref="A13" location="'Mapping (M01-M16)'!A1" display="Mapping (M01-M16)" xr:uid="{00000000-0004-0000-0000-000005000000}"/>
    <hyperlink ref="A14" location="'Code Map'!A1" display="Code Map" xr:uid="{00000000-0004-0000-0000-000006000000}"/>
    <hyperlink ref="A17" location="'Seeded Defects'!A1" display="Seeded Defects" xr:uid="{00000000-0004-0000-0000-000007000000}"/>
    <hyperlink ref="A18" location="'DQ Dimensions'!A1" display="DQ Dimensions" xr:uid="{00000000-0004-0000-0000-000008000000}"/>
    <hyperlink ref="A19" location="'DQ Rules'!A1" display="DQ Rules" xr:uid="{00000000-0004-0000-0000-000009000000}"/>
    <hyperlink ref="A20" location="'DQ Exception Workflow'!A1" display="DQ Exception Workflow" xr:uid="{00000000-0004-0000-0000-00000A000000}"/>
    <hyperlink ref="A21" location="'Recon Checks'!A1" display="Recon Checks" xr:uid="{00000000-0004-0000-0000-00000B000000}"/>
    <hyperlink ref="A22" location="'Recon Bridge'!A1" display="Recon Bridge" xr:uid="{00000000-0004-0000-0000-00000C000000}"/>
    <hyperlink ref="A23" location="'Controls'!A1" display="Controls" xr:uid="{00000000-0004-0000-0000-00000D000000}"/>
    <hyperlink ref="A26" location="'Scenarios'!A1" display="Scenarios" xr:uid="{00000000-0004-0000-0000-00000E000000}"/>
    <hyperlink ref="A27" location="'Parameters'!A1" display="Parameters" xr:uid="{00000000-0004-0000-0000-00000F000000}"/>
    <hyperlink ref="A28" location="'Worked Examples'!A1" display="Worked Examples" xr:uid="{00000000-0004-0000-0000-000010000000}"/>
    <hyperlink ref="A29" location="'Report R1 Fields'!A1" display="Report R1 Fields" xr:uid="{00000000-0004-0000-0000-000011000000}"/>
    <hyperlink ref="A30" location="'Report R2 Lines'!A1" display="Report R2 Lines" xr:uid="{00000000-0004-0000-0000-000012000000}"/>
    <hyperlink ref="A31" location="'Edit Checks'!A1" display="Edit Checks" xr:uid="{00000000-0004-0000-0000-000013000000}"/>
    <hyperlink ref="A32" location="'Report Recon Rules'!A1" display="Report Recon Rules" xr:uid="{00000000-0004-0000-0000-000014000000}"/>
    <hyperlink ref="A35" location="'Data - Customer'!A1" display="Data - Customer" xr:uid="{00000000-0004-0000-0000-000015000000}"/>
    <hyperlink ref="A36" location="'Data - Loan'!A1" display="Data - Loan" xr:uid="{00000000-0004-0000-0000-000016000000}"/>
    <hyperlink ref="A37" location="'Data - Balance'!A1" display="Data - Balance" xr:uid="{00000000-0004-0000-0000-000017000000}"/>
    <hyperlink ref="A38" location="'Data - Status'!A1" display="Data - Status" xr:uid="{00000000-0004-0000-0000-000018000000}"/>
    <hyperlink ref="A39" location="'Data - Collateral'!A1" display="Data - Collateral" xr:uid="{00000000-0004-0000-0000-000019000000}"/>
    <hyperlink ref="A40" location="'Data - GL Control'!A1" display="Data - GL Control" xr:uid="{00000000-0004-0000-0000-00001A000000}"/>
    <hyperlink ref="A41" location="'Expected Results'!A1" display="Expected Results" xr:uid="{00000000-0004-0000-0000-00001B000000}"/>
    <hyperlink ref="A42" location="'Expected Summary'!A1" display="Expected Summary" xr:uid="{00000000-0004-0000-0000-00001C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0"/>
  <sheetViews>
    <sheetView showGridLines="0" workbookViewId="0">
      <pane ySplit="1" topLeftCell="A2" activePane="bottomLeft" state="frozen"/>
      <selection pane="bottomLeft"/>
    </sheetView>
  </sheetViews>
  <sheetFormatPr defaultRowHeight="14.5" x14ac:dyDescent="0.35"/>
  <cols>
    <col min="1" max="1" width="9" customWidth="1"/>
    <col min="2" max="2" width="60" customWidth="1"/>
    <col min="3" max="3" width="45" customWidth="1"/>
    <col min="4" max="4" width="9" customWidth="1"/>
    <col min="5" max="5" width="55" customWidth="1"/>
    <col min="6" max="6" width="18" customWidth="1"/>
  </cols>
  <sheetData>
    <row r="1" spans="1:6" x14ac:dyDescent="0.35">
      <c r="A1" s="7" t="s">
        <v>66</v>
      </c>
      <c r="B1" s="7" t="s">
        <v>67</v>
      </c>
      <c r="C1" s="7" t="s">
        <v>68</v>
      </c>
      <c r="D1" s="7" t="s">
        <v>69</v>
      </c>
      <c r="E1" s="7" t="s">
        <v>70</v>
      </c>
      <c r="F1" s="7" t="s">
        <v>71</v>
      </c>
    </row>
    <row r="2" spans="1:6" ht="25" x14ac:dyDescent="0.35">
      <c r="A2" s="8" t="s">
        <v>72</v>
      </c>
      <c r="B2" s="8" t="s">
        <v>73</v>
      </c>
      <c r="C2" s="8" t="s">
        <v>74</v>
      </c>
      <c r="D2" s="8" t="s">
        <v>75</v>
      </c>
      <c r="E2" s="8" t="s">
        <v>76</v>
      </c>
      <c r="F2" s="8" t="s">
        <v>77</v>
      </c>
    </row>
    <row r="3" spans="1:6" ht="37.5" x14ac:dyDescent="0.35">
      <c r="A3" s="8" t="s">
        <v>78</v>
      </c>
      <c r="B3" s="8" t="s">
        <v>79</v>
      </c>
      <c r="C3" s="8" t="s">
        <v>80</v>
      </c>
      <c r="D3" s="8" t="s">
        <v>75</v>
      </c>
      <c r="E3" s="8" t="s">
        <v>81</v>
      </c>
      <c r="F3" s="8" t="s">
        <v>82</v>
      </c>
    </row>
    <row r="4" spans="1:6" ht="25" x14ac:dyDescent="0.35">
      <c r="A4" s="8" t="s">
        <v>83</v>
      </c>
      <c r="B4" s="8" t="s">
        <v>84</v>
      </c>
      <c r="C4" s="8" t="s">
        <v>85</v>
      </c>
      <c r="D4" s="8" t="s">
        <v>75</v>
      </c>
      <c r="E4" s="8" t="s">
        <v>86</v>
      </c>
      <c r="F4" s="8" t="s">
        <v>87</v>
      </c>
    </row>
    <row r="5" spans="1:6" ht="25" x14ac:dyDescent="0.35">
      <c r="A5" s="8" t="s">
        <v>88</v>
      </c>
      <c r="B5" s="8" t="s">
        <v>89</v>
      </c>
      <c r="C5" s="8" t="s">
        <v>90</v>
      </c>
      <c r="D5" s="8" t="s">
        <v>75</v>
      </c>
      <c r="E5" s="8" t="s">
        <v>91</v>
      </c>
      <c r="F5" s="8" t="s">
        <v>83</v>
      </c>
    </row>
    <row r="6" spans="1:6" ht="37.5" x14ac:dyDescent="0.35">
      <c r="A6" s="8" t="s">
        <v>92</v>
      </c>
      <c r="B6" s="8" t="s">
        <v>93</v>
      </c>
      <c r="C6" s="8" t="s">
        <v>94</v>
      </c>
      <c r="D6" s="8" t="s">
        <v>75</v>
      </c>
      <c r="E6" s="8" t="s">
        <v>95</v>
      </c>
      <c r="F6" s="8" t="s">
        <v>83</v>
      </c>
    </row>
    <row r="7" spans="1:6" ht="25" x14ac:dyDescent="0.35">
      <c r="A7" s="8" t="s">
        <v>96</v>
      </c>
      <c r="B7" s="8" t="s">
        <v>97</v>
      </c>
      <c r="C7" s="8" t="s">
        <v>98</v>
      </c>
      <c r="D7" s="8" t="s">
        <v>75</v>
      </c>
      <c r="E7" s="8" t="s">
        <v>99</v>
      </c>
      <c r="F7" s="8" t="s">
        <v>100</v>
      </c>
    </row>
    <row r="8" spans="1:6" ht="25" x14ac:dyDescent="0.35">
      <c r="A8" s="8" t="s">
        <v>101</v>
      </c>
      <c r="B8" s="8" t="s">
        <v>102</v>
      </c>
      <c r="C8" s="8" t="s">
        <v>103</v>
      </c>
      <c r="D8" s="8" t="s">
        <v>75</v>
      </c>
      <c r="E8" s="8" t="s">
        <v>104</v>
      </c>
      <c r="F8" s="8" t="s">
        <v>77</v>
      </c>
    </row>
    <row r="9" spans="1:6" ht="25" x14ac:dyDescent="0.35">
      <c r="A9" s="8" t="s">
        <v>105</v>
      </c>
      <c r="B9" s="8" t="s">
        <v>106</v>
      </c>
      <c r="C9" s="8" t="s">
        <v>107</v>
      </c>
      <c r="D9" s="8" t="s">
        <v>75</v>
      </c>
      <c r="E9" s="8" t="s">
        <v>108</v>
      </c>
      <c r="F9" s="8" t="s">
        <v>109</v>
      </c>
    </row>
    <row r="10" spans="1:6" ht="25" x14ac:dyDescent="0.35">
      <c r="A10" s="8" t="s">
        <v>110</v>
      </c>
      <c r="B10" s="8" t="s">
        <v>111</v>
      </c>
      <c r="C10" s="8" t="s">
        <v>112</v>
      </c>
      <c r="D10" s="8" t="s">
        <v>75</v>
      </c>
      <c r="E10" s="8" t="s">
        <v>113</v>
      </c>
      <c r="F10" s="8" t="s">
        <v>105</v>
      </c>
    </row>
    <row r="11" spans="1:6" ht="25" x14ac:dyDescent="0.35">
      <c r="A11" s="8" t="s">
        <v>114</v>
      </c>
      <c r="B11" s="8" t="s">
        <v>115</v>
      </c>
      <c r="C11" s="8" t="s">
        <v>116</v>
      </c>
      <c r="D11" s="8" t="s">
        <v>75</v>
      </c>
      <c r="E11" s="8" t="s">
        <v>117</v>
      </c>
      <c r="F11" s="8" t="s">
        <v>118</v>
      </c>
    </row>
    <row r="12" spans="1:6" ht="25" x14ac:dyDescent="0.35">
      <c r="A12" s="8" t="s">
        <v>119</v>
      </c>
      <c r="B12" s="8" t="s">
        <v>120</v>
      </c>
      <c r="C12" s="8" t="s">
        <v>121</v>
      </c>
      <c r="D12" s="8" t="s">
        <v>75</v>
      </c>
      <c r="E12" s="8" t="s">
        <v>122</v>
      </c>
      <c r="F12" s="8" t="s">
        <v>105</v>
      </c>
    </row>
    <row r="13" spans="1:6" ht="37.5" x14ac:dyDescent="0.35">
      <c r="A13" s="8" t="s">
        <v>123</v>
      </c>
      <c r="B13" s="8" t="s">
        <v>124</v>
      </c>
      <c r="C13" s="8" t="s">
        <v>125</v>
      </c>
      <c r="D13" s="8" t="s">
        <v>75</v>
      </c>
      <c r="E13" s="8" t="s">
        <v>126</v>
      </c>
      <c r="F13" s="8" t="s">
        <v>127</v>
      </c>
    </row>
    <row r="14" spans="1:6" ht="25" x14ac:dyDescent="0.35">
      <c r="A14" s="8" t="s">
        <v>128</v>
      </c>
      <c r="B14" s="8" t="s">
        <v>129</v>
      </c>
      <c r="C14" s="8" t="s">
        <v>130</v>
      </c>
      <c r="D14" s="8" t="s">
        <v>75</v>
      </c>
      <c r="E14" s="8" t="s">
        <v>131</v>
      </c>
      <c r="F14" s="8" t="s">
        <v>132</v>
      </c>
    </row>
    <row r="15" spans="1:6" ht="37.5" x14ac:dyDescent="0.35">
      <c r="A15" s="8" t="s">
        <v>133</v>
      </c>
      <c r="B15" s="8" t="s">
        <v>134</v>
      </c>
      <c r="C15" s="8" t="s">
        <v>135</v>
      </c>
      <c r="D15" s="8" t="s">
        <v>75</v>
      </c>
      <c r="E15" s="8" t="s">
        <v>136</v>
      </c>
      <c r="F15" s="8" t="s">
        <v>128</v>
      </c>
    </row>
    <row r="16" spans="1:6" ht="25" x14ac:dyDescent="0.35">
      <c r="A16" s="8" t="s">
        <v>82</v>
      </c>
      <c r="B16" s="8" t="s">
        <v>137</v>
      </c>
      <c r="C16" s="8" t="s">
        <v>138</v>
      </c>
      <c r="D16" s="8" t="s">
        <v>75</v>
      </c>
      <c r="E16" s="8" t="s">
        <v>139</v>
      </c>
      <c r="F16" s="8" t="s">
        <v>77</v>
      </c>
    </row>
    <row r="17" spans="1:6" ht="25" x14ac:dyDescent="0.35">
      <c r="A17" s="8" t="s">
        <v>140</v>
      </c>
      <c r="B17" s="8" t="s">
        <v>141</v>
      </c>
      <c r="C17" s="8" t="s">
        <v>142</v>
      </c>
      <c r="D17" s="8" t="s">
        <v>143</v>
      </c>
      <c r="E17" s="8" t="s">
        <v>144</v>
      </c>
      <c r="F17" s="8" t="s">
        <v>127</v>
      </c>
    </row>
    <row r="18" spans="1:6" ht="25" x14ac:dyDescent="0.35">
      <c r="A18" s="8" t="s">
        <v>145</v>
      </c>
      <c r="B18" s="8" t="s">
        <v>146</v>
      </c>
      <c r="C18" s="8" t="s">
        <v>147</v>
      </c>
      <c r="D18" s="8" t="s">
        <v>143</v>
      </c>
      <c r="E18" s="8" t="s">
        <v>148</v>
      </c>
      <c r="F18" s="8" t="s">
        <v>114</v>
      </c>
    </row>
    <row r="19" spans="1:6" ht="25" x14ac:dyDescent="0.35">
      <c r="A19" s="8" t="s">
        <v>149</v>
      </c>
      <c r="B19" s="8" t="s">
        <v>150</v>
      </c>
      <c r="C19" s="8" t="s">
        <v>151</v>
      </c>
      <c r="D19" s="8" t="s">
        <v>143</v>
      </c>
      <c r="E19" s="8" t="s">
        <v>152</v>
      </c>
      <c r="F19" s="8" t="s">
        <v>153</v>
      </c>
    </row>
    <row r="20" spans="1:6" x14ac:dyDescent="0.35">
      <c r="A20" s="8" t="s">
        <v>154</v>
      </c>
      <c r="B20" s="8" t="s">
        <v>155</v>
      </c>
      <c r="C20" s="8" t="s">
        <v>156</v>
      </c>
      <c r="D20" s="8" t="s">
        <v>157</v>
      </c>
      <c r="E20" s="8" t="s">
        <v>158</v>
      </c>
      <c r="F20" s="8" t="s">
        <v>128</v>
      </c>
    </row>
  </sheetData>
  <autoFilter ref="A1:F20"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7"/>
  <sheetViews>
    <sheetView showGridLines="0" workbookViewId="0">
      <pane ySplit="1" topLeftCell="A2" activePane="bottomLeft" state="frozen"/>
      <selection pane="bottomLeft"/>
    </sheetView>
  </sheetViews>
  <sheetFormatPr defaultRowHeight="14.5" x14ac:dyDescent="0.35"/>
  <cols>
    <col min="1" max="1" width="8" customWidth="1"/>
    <col min="2" max="2" width="32" customWidth="1"/>
    <col min="3" max="3" width="18" customWidth="1"/>
    <col min="4" max="4" width="14" customWidth="1"/>
    <col min="5" max="5" width="9" customWidth="1"/>
    <col min="6" max="6" width="8" customWidth="1"/>
    <col min="7" max="7" width="24" customWidth="1"/>
    <col min="8" max="8" width="60" customWidth="1"/>
    <col min="9" max="9" width="55" customWidth="1"/>
    <col min="10" max="10" width="22" customWidth="1"/>
    <col min="11" max="11" width="70" customWidth="1"/>
  </cols>
  <sheetData>
    <row r="1" spans="1:11" x14ac:dyDescent="0.35">
      <c r="A1" s="7" t="s">
        <v>159</v>
      </c>
      <c r="B1" s="7" t="s">
        <v>160</v>
      </c>
      <c r="C1" s="7" t="s">
        <v>161</v>
      </c>
      <c r="D1" s="7" t="s">
        <v>162</v>
      </c>
      <c r="E1" s="7" t="s">
        <v>69</v>
      </c>
      <c r="F1" s="7" t="s">
        <v>163</v>
      </c>
      <c r="G1" s="7" t="s">
        <v>164</v>
      </c>
      <c r="H1" s="7" t="s">
        <v>165</v>
      </c>
      <c r="I1" s="7" t="s">
        <v>70</v>
      </c>
      <c r="J1" s="7" t="s">
        <v>71</v>
      </c>
      <c r="K1" s="7" t="s">
        <v>166</v>
      </c>
    </row>
    <row r="2" spans="1:11" ht="150" x14ac:dyDescent="0.35">
      <c r="A2" s="8" t="s">
        <v>167</v>
      </c>
      <c r="B2" s="8" t="s">
        <v>168</v>
      </c>
      <c r="C2" s="8" t="s">
        <v>169</v>
      </c>
      <c r="D2" s="8" t="s">
        <v>72</v>
      </c>
      <c r="E2" s="8" t="s">
        <v>75</v>
      </c>
      <c r="F2" s="8">
        <v>5</v>
      </c>
      <c r="G2" s="8" t="s">
        <v>170</v>
      </c>
      <c r="H2" s="8" t="s">
        <v>171</v>
      </c>
      <c r="I2" s="8" t="s">
        <v>172</v>
      </c>
      <c r="J2" s="8" t="s">
        <v>173</v>
      </c>
      <c r="K2" s="8" t="s">
        <v>174</v>
      </c>
    </row>
    <row r="3" spans="1:11" ht="100" x14ac:dyDescent="0.35">
      <c r="A3" s="8" t="s">
        <v>175</v>
      </c>
      <c r="B3" s="8" t="s">
        <v>176</v>
      </c>
      <c r="C3" s="8" t="s">
        <v>169</v>
      </c>
      <c r="D3" s="8" t="s">
        <v>78</v>
      </c>
      <c r="E3" s="8" t="s">
        <v>75</v>
      </c>
      <c r="F3" s="8">
        <v>3</v>
      </c>
      <c r="G3" s="8" t="s">
        <v>170</v>
      </c>
      <c r="H3" s="8" t="s">
        <v>177</v>
      </c>
      <c r="I3" s="8" t="s">
        <v>178</v>
      </c>
      <c r="J3" s="8" t="s">
        <v>179</v>
      </c>
      <c r="K3" s="8" t="s">
        <v>180</v>
      </c>
    </row>
    <row r="4" spans="1:11" ht="125" x14ac:dyDescent="0.35">
      <c r="A4" s="8" t="s">
        <v>181</v>
      </c>
      <c r="B4" s="8" t="s">
        <v>182</v>
      </c>
      <c r="C4" s="8" t="s">
        <v>183</v>
      </c>
      <c r="D4" s="8" t="s">
        <v>83</v>
      </c>
      <c r="E4" s="8" t="s">
        <v>75</v>
      </c>
      <c r="F4" s="8">
        <v>8</v>
      </c>
      <c r="G4" s="8" t="s">
        <v>170</v>
      </c>
      <c r="H4" s="8" t="s">
        <v>184</v>
      </c>
      <c r="I4" s="8" t="s">
        <v>185</v>
      </c>
      <c r="J4" s="8" t="s">
        <v>186</v>
      </c>
      <c r="K4" s="8" t="s">
        <v>187</v>
      </c>
    </row>
    <row r="5" spans="1:11" ht="150" x14ac:dyDescent="0.35">
      <c r="A5" s="8" t="s">
        <v>188</v>
      </c>
      <c r="B5" s="8" t="s">
        <v>189</v>
      </c>
      <c r="C5" s="8" t="s">
        <v>183</v>
      </c>
      <c r="D5" s="8" t="s">
        <v>88</v>
      </c>
      <c r="E5" s="8" t="s">
        <v>75</v>
      </c>
      <c r="F5" s="8">
        <v>3</v>
      </c>
      <c r="G5" s="8" t="s">
        <v>170</v>
      </c>
      <c r="H5" s="8" t="s">
        <v>190</v>
      </c>
      <c r="I5" s="8" t="s">
        <v>191</v>
      </c>
      <c r="J5" s="8" t="s">
        <v>181</v>
      </c>
      <c r="K5" s="8" t="s">
        <v>192</v>
      </c>
    </row>
    <row r="6" spans="1:11" ht="125" x14ac:dyDescent="0.35">
      <c r="A6" s="8" t="s">
        <v>193</v>
      </c>
      <c r="B6" s="8" t="s">
        <v>194</v>
      </c>
      <c r="C6" s="8" t="s">
        <v>195</v>
      </c>
      <c r="D6" s="8" t="s">
        <v>92</v>
      </c>
      <c r="E6" s="8" t="s">
        <v>75</v>
      </c>
      <c r="F6" s="8">
        <v>8</v>
      </c>
      <c r="G6" s="8" t="s">
        <v>196</v>
      </c>
      <c r="H6" s="8" t="s">
        <v>197</v>
      </c>
      <c r="I6" s="8" t="s">
        <v>198</v>
      </c>
      <c r="J6" s="8" t="s">
        <v>199</v>
      </c>
      <c r="K6" s="8" t="s">
        <v>200</v>
      </c>
    </row>
    <row r="7" spans="1:11" ht="225" x14ac:dyDescent="0.35">
      <c r="A7" s="8" t="s">
        <v>201</v>
      </c>
      <c r="B7" s="8" t="s">
        <v>202</v>
      </c>
      <c r="C7" s="8" t="s">
        <v>195</v>
      </c>
      <c r="D7" s="8" t="s">
        <v>96</v>
      </c>
      <c r="E7" s="8" t="s">
        <v>75</v>
      </c>
      <c r="F7" s="8">
        <v>5</v>
      </c>
      <c r="G7" s="8" t="s">
        <v>196</v>
      </c>
      <c r="H7" s="8" t="s">
        <v>203</v>
      </c>
      <c r="I7" s="8" t="s">
        <v>191</v>
      </c>
      <c r="J7" s="8" t="s">
        <v>204</v>
      </c>
      <c r="K7" s="8" t="s">
        <v>205</v>
      </c>
    </row>
    <row r="8" spans="1:11" ht="100" x14ac:dyDescent="0.35">
      <c r="A8" s="8" t="s">
        <v>206</v>
      </c>
      <c r="B8" s="8" t="s">
        <v>207</v>
      </c>
      <c r="C8" s="8" t="s">
        <v>208</v>
      </c>
      <c r="D8" s="8" t="s">
        <v>101</v>
      </c>
      <c r="E8" s="8" t="s">
        <v>75</v>
      </c>
      <c r="F8" s="8">
        <v>3</v>
      </c>
      <c r="G8" s="8" t="s">
        <v>209</v>
      </c>
      <c r="H8" s="8" t="s">
        <v>210</v>
      </c>
      <c r="I8" s="8" t="s">
        <v>191</v>
      </c>
      <c r="J8" s="8" t="s">
        <v>211</v>
      </c>
      <c r="K8" s="8" t="s">
        <v>212</v>
      </c>
    </row>
    <row r="9" spans="1:11" ht="162.5" x14ac:dyDescent="0.35">
      <c r="A9" s="8" t="s">
        <v>213</v>
      </c>
      <c r="B9" s="8" t="s">
        <v>214</v>
      </c>
      <c r="C9" s="8" t="s">
        <v>208</v>
      </c>
      <c r="D9" s="8" t="s">
        <v>118</v>
      </c>
      <c r="E9" s="8" t="s">
        <v>75</v>
      </c>
      <c r="F9" s="8">
        <v>8</v>
      </c>
      <c r="G9" s="8" t="s">
        <v>209</v>
      </c>
      <c r="H9" s="8" t="s">
        <v>215</v>
      </c>
      <c r="I9" s="8" t="s">
        <v>216</v>
      </c>
      <c r="J9" s="8" t="s">
        <v>217</v>
      </c>
      <c r="K9" s="8" t="s">
        <v>218</v>
      </c>
    </row>
    <row r="10" spans="1:11" ht="137.5" x14ac:dyDescent="0.35">
      <c r="A10" s="8" t="s">
        <v>219</v>
      </c>
      <c r="B10" s="8" t="s">
        <v>220</v>
      </c>
      <c r="C10" s="8" t="s">
        <v>208</v>
      </c>
      <c r="D10" s="8" t="s">
        <v>132</v>
      </c>
      <c r="E10" s="8" t="s">
        <v>75</v>
      </c>
      <c r="F10" s="8">
        <v>5</v>
      </c>
      <c r="G10" s="8" t="s">
        <v>209</v>
      </c>
      <c r="H10" s="8" t="s">
        <v>221</v>
      </c>
      <c r="I10" s="8" t="s">
        <v>222</v>
      </c>
      <c r="J10" s="8" t="s">
        <v>213</v>
      </c>
      <c r="K10" s="8" t="s">
        <v>223</v>
      </c>
    </row>
    <row r="11" spans="1:11" ht="150" x14ac:dyDescent="0.35">
      <c r="A11" s="8" t="s">
        <v>224</v>
      </c>
      <c r="B11" s="8" t="s">
        <v>225</v>
      </c>
      <c r="C11" s="8" t="s">
        <v>226</v>
      </c>
      <c r="D11" s="8" t="s">
        <v>123</v>
      </c>
      <c r="E11" s="8" t="s">
        <v>75</v>
      </c>
      <c r="F11" s="8">
        <v>5</v>
      </c>
      <c r="G11" s="8" t="s">
        <v>196</v>
      </c>
      <c r="H11" s="8" t="s">
        <v>227</v>
      </c>
      <c r="I11" s="8" t="s">
        <v>228</v>
      </c>
      <c r="J11" s="8" t="s">
        <v>229</v>
      </c>
      <c r="K11" s="8" t="s">
        <v>230</v>
      </c>
    </row>
    <row r="12" spans="1:11" ht="137.5" x14ac:dyDescent="0.35">
      <c r="A12" s="8" t="s">
        <v>231</v>
      </c>
      <c r="B12" s="8" t="s">
        <v>232</v>
      </c>
      <c r="C12" s="8" t="s">
        <v>226</v>
      </c>
      <c r="D12" s="8" t="s">
        <v>233</v>
      </c>
      <c r="E12" s="8" t="s">
        <v>75</v>
      </c>
      <c r="F12" s="8">
        <v>8</v>
      </c>
      <c r="G12" s="8" t="s">
        <v>234</v>
      </c>
      <c r="H12" s="8" t="s">
        <v>235</v>
      </c>
      <c r="I12" s="8" t="s">
        <v>236</v>
      </c>
      <c r="J12" s="8" t="s">
        <v>237</v>
      </c>
      <c r="K12" s="8" t="s">
        <v>238</v>
      </c>
    </row>
    <row r="13" spans="1:11" ht="187.5" x14ac:dyDescent="0.35">
      <c r="A13" s="8" t="s">
        <v>239</v>
      </c>
      <c r="B13" s="8" t="s">
        <v>240</v>
      </c>
      <c r="C13" s="8" t="s">
        <v>241</v>
      </c>
      <c r="D13" s="8" t="s">
        <v>133</v>
      </c>
      <c r="E13" s="8" t="s">
        <v>75</v>
      </c>
      <c r="F13" s="8">
        <v>5</v>
      </c>
      <c r="G13" s="8" t="s">
        <v>234</v>
      </c>
      <c r="H13" s="8" t="s">
        <v>242</v>
      </c>
      <c r="I13" s="8" t="s">
        <v>191</v>
      </c>
      <c r="J13" s="8" t="s">
        <v>243</v>
      </c>
      <c r="K13" s="8" t="s">
        <v>244</v>
      </c>
    </row>
    <row r="14" spans="1:11" ht="100" x14ac:dyDescent="0.35">
      <c r="A14" s="8" t="s">
        <v>245</v>
      </c>
      <c r="B14" s="8" t="s">
        <v>246</v>
      </c>
      <c r="C14" s="8" t="s">
        <v>241</v>
      </c>
      <c r="D14" s="8" t="s">
        <v>82</v>
      </c>
      <c r="E14" s="8" t="s">
        <v>75</v>
      </c>
      <c r="F14" s="8">
        <v>3</v>
      </c>
      <c r="G14" s="8" t="s">
        <v>196</v>
      </c>
      <c r="H14" s="8" t="s">
        <v>247</v>
      </c>
      <c r="I14" s="8" t="s">
        <v>191</v>
      </c>
      <c r="J14" s="8" t="s">
        <v>248</v>
      </c>
      <c r="K14" s="8" t="s">
        <v>249</v>
      </c>
    </row>
    <row r="15" spans="1:11" ht="62.5" x14ac:dyDescent="0.35">
      <c r="A15" s="8" t="s">
        <v>250</v>
      </c>
      <c r="B15" s="8" t="s">
        <v>251</v>
      </c>
      <c r="C15" s="8" t="s">
        <v>241</v>
      </c>
      <c r="D15" s="8" t="s">
        <v>140</v>
      </c>
      <c r="E15" s="8" t="s">
        <v>143</v>
      </c>
      <c r="F15" s="8">
        <v>5</v>
      </c>
      <c r="G15" s="8" t="s">
        <v>234</v>
      </c>
      <c r="H15" s="8" t="s">
        <v>252</v>
      </c>
      <c r="I15" s="8" t="s">
        <v>191</v>
      </c>
      <c r="J15" s="8" t="s">
        <v>231</v>
      </c>
      <c r="K15" s="8" t="s">
        <v>253</v>
      </c>
    </row>
    <row r="16" spans="1:11" ht="37.5" x14ac:dyDescent="0.35">
      <c r="A16" s="8" t="s">
        <v>254</v>
      </c>
      <c r="B16" s="8" t="s">
        <v>255</v>
      </c>
      <c r="C16" s="8" t="s">
        <v>256</v>
      </c>
      <c r="D16" s="8" t="s">
        <v>145</v>
      </c>
      <c r="E16" s="8" t="s">
        <v>143</v>
      </c>
      <c r="F16" s="8">
        <v>3</v>
      </c>
      <c r="G16" s="8" t="s">
        <v>209</v>
      </c>
      <c r="H16" s="8" t="s">
        <v>257</v>
      </c>
      <c r="I16" s="8" t="s">
        <v>258</v>
      </c>
      <c r="J16" s="8" t="s">
        <v>219</v>
      </c>
      <c r="K16" s="8" t="s">
        <v>259</v>
      </c>
    </row>
    <row r="17" spans="1:11" ht="112.5" x14ac:dyDescent="0.35">
      <c r="A17" s="8" t="s">
        <v>260</v>
      </c>
      <c r="B17" s="8" t="s">
        <v>261</v>
      </c>
      <c r="C17" s="8" t="s">
        <v>256</v>
      </c>
      <c r="D17" s="8" t="s">
        <v>149</v>
      </c>
      <c r="E17" s="8" t="s">
        <v>143</v>
      </c>
      <c r="F17" s="8">
        <v>3</v>
      </c>
      <c r="G17" s="8" t="s">
        <v>170</v>
      </c>
      <c r="H17" s="8" t="s">
        <v>262</v>
      </c>
      <c r="I17" s="8" t="s">
        <v>191</v>
      </c>
      <c r="J17" s="8" t="s">
        <v>263</v>
      </c>
      <c r="K17" s="8" t="s">
        <v>264</v>
      </c>
    </row>
  </sheetData>
  <autoFilter ref="A1:K17"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4"/>
  <sheetViews>
    <sheetView showGridLines="0" workbookViewId="0">
      <pane ySplit="3" topLeftCell="A4" activePane="bottomLeft" state="frozen"/>
      <selection pane="bottomLeft"/>
    </sheetView>
  </sheetViews>
  <sheetFormatPr defaultRowHeight="14.5" x14ac:dyDescent="0.35"/>
  <cols>
    <col min="1" max="1" width="8" customWidth="1"/>
    <col min="2" max="2" width="34" customWidth="1"/>
    <col min="3" max="3" width="24" customWidth="1"/>
    <col min="4" max="4" width="60" customWidth="1"/>
    <col min="5" max="5" width="18" customWidth="1"/>
    <col min="6" max="6" width="22" customWidth="1"/>
  </cols>
  <sheetData>
    <row r="1" spans="1:6" x14ac:dyDescent="0.35">
      <c r="A1" s="9" t="s">
        <v>265</v>
      </c>
    </row>
    <row r="3" spans="1:6" x14ac:dyDescent="0.35">
      <c r="A3" s="7" t="s">
        <v>159</v>
      </c>
      <c r="B3" s="7" t="s">
        <v>266</v>
      </c>
      <c r="C3" s="7" t="s">
        <v>164</v>
      </c>
      <c r="D3" s="7" t="s">
        <v>267</v>
      </c>
      <c r="E3" s="7" t="s">
        <v>268</v>
      </c>
      <c r="F3" s="7" t="s">
        <v>269</v>
      </c>
    </row>
    <row r="4" spans="1:6" x14ac:dyDescent="0.35">
      <c r="A4" s="8" t="s">
        <v>167</v>
      </c>
      <c r="B4" s="8" t="s">
        <v>168</v>
      </c>
      <c r="C4" s="8" t="s">
        <v>170</v>
      </c>
      <c r="D4" s="8" t="s">
        <v>270</v>
      </c>
      <c r="E4" s="8"/>
      <c r="F4" s="8"/>
    </row>
    <row r="5" spans="1:6" x14ac:dyDescent="0.35">
      <c r="A5" s="8" t="s">
        <v>167</v>
      </c>
      <c r="B5" s="8" t="s">
        <v>168</v>
      </c>
      <c r="C5" s="8" t="s">
        <v>170</v>
      </c>
      <c r="D5" s="8" t="s">
        <v>271</v>
      </c>
      <c r="E5" s="8"/>
      <c r="F5" s="8"/>
    </row>
    <row r="6" spans="1:6" x14ac:dyDescent="0.35">
      <c r="A6" s="8" t="s">
        <v>175</v>
      </c>
      <c r="B6" s="8" t="s">
        <v>176</v>
      </c>
      <c r="C6" s="8" t="s">
        <v>170</v>
      </c>
      <c r="D6" s="8" t="s">
        <v>272</v>
      </c>
      <c r="E6" s="8"/>
      <c r="F6" s="8"/>
    </row>
    <row r="7" spans="1:6" x14ac:dyDescent="0.35">
      <c r="A7" s="8" t="s">
        <v>181</v>
      </c>
      <c r="B7" s="8" t="s">
        <v>182</v>
      </c>
      <c r="C7" s="8" t="s">
        <v>170</v>
      </c>
      <c r="D7" s="8" t="s">
        <v>273</v>
      </c>
      <c r="E7" s="8"/>
      <c r="F7" s="8"/>
    </row>
    <row r="8" spans="1:6" x14ac:dyDescent="0.35">
      <c r="A8" s="8" t="s">
        <v>181</v>
      </c>
      <c r="B8" s="8" t="s">
        <v>182</v>
      </c>
      <c r="C8" s="8" t="s">
        <v>170</v>
      </c>
      <c r="D8" s="8" t="s">
        <v>274</v>
      </c>
      <c r="E8" s="8"/>
      <c r="F8" s="8"/>
    </row>
    <row r="9" spans="1:6" x14ac:dyDescent="0.35">
      <c r="A9" s="8" t="s">
        <v>188</v>
      </c>
      <c r="B9" s="8" t="s">
        <v>189</v>
      </c>
      <c r="C9" s="8" t="s">
        <v>170</v>
      </c>
      <c r="D9" s="8" t="s">
        <v>275</v>
      </c>
      <c r="E9" s="8"/>
      <c r="F9" s="8"/>
    </row>
    <row r="10" spans="1:6" x14ac:dyDescent="0.35">
      <c r="A10" s="8" t="s">
        <v>188</v>
      </c>
      <c r="B10" s="8" t="s">
        <v>189</v>
      </c>
      <c r="C10" s="8" t="s">
        <v>170</v>
      </c>
      <c r="D10" s="8" t="s">
        <v>276</v>
      </c>
      <c r="E10" s="8"/>
      <c r="F10" s="8"/>
    </row>
    <row r="11" spans="1:6" x14ac:dyDescent="0.35">
      <c r="A11" s="8" t="s">
        <v>193</v>
      </c>
      <c r="B11" s="8" t="s">
        <v>194</v>
      </c>
      <c r="C11" s="8" t="s">
        <v>196</v>
      </c>
      <c r="D11" s="8" t="s">
        <v>277</v>
      </c>
      <c r="E11" s="8"/>
      <c r="F11" s="8"/>
    </row>
    <row r="12" spans="1:6" x14ac:dyDescent="0.35">
      <c r="A12" s="8" t="s">
        <v>193</v>
      </c>
      <c r="B12" s="8" t="s">
        <v>194</v>
      </c>
      <c r="C12" s="8" t="s">
        <v>196</v>
      </c>
      <c r="D12" s="8" t="s">
        <v>278</v>
      </c>
      <c r="E12" s="8"/>
      <c r="F12" s="8"/>
    </row>
    <row r="13" spans="1:6" x14ac:dyDescent="0.35">
      <c r="A13" s="8" t="s">
        <v>201</v>
      </c>
      <c r="B13" s="8" t="s">
        <v>202</v>
      </c>
      <c r="C13" s="8" t="s">
        <v>196</v>
      </c>
      <c r="D13" s="8" t="s">
        <v>279</v>
      </c>
      <c r="E13" s="8"/>
      <c r="F13" s="8"/>
    </row>
    <row r="14" spans="1:6" x14ac:dyDescent="0.35">
      <c r="A14" s="8" t="s">
        <v>201</v>
      </c>
      <c r="B14" s="8" t="s">
        <v>202</v>
      </c>
      <c r="C14" s="8" t="s">
        <v>196</v>
      </c>
      <c r="D14" s="8" t="s">
        <v>280</v>
      </c>
      <c r="E14" s="8"/>
      <c r="F14" s="8"/>
    </row>
    <row r="15" spans="1:6" x14ac:dyDescent="0.35">
      <c r="A15" s="8" t="s">
        <v>201</v>
      </c>
      <c r="B15" s="8" t="s">
        <v>202</v>
      </c>
      <c r="C15" s="8" t="s">
        <v>196</v>
      </c>
      <c r="D15" s="8" t="s">
        <v>281</v>
      </c>
      <c r="E15" s="8"/>
      <c r="F15" s="8"/>
    </row>
    <row r="16" spans="1:6" x14ac:dyDescent="0.35">
      <c r="A16" s="8" t="s">
        <v>206</v>
      </c>
      <c r="B16" s="8" t="s">
        <v>207</v>
      </c>
      <c r="C16" s="8" t="s">
        <v>209</v>
      </c>
      <c r="D16" s="8" t="s">
        <v>282</v>
      </c>
      <c r="E16" s="8"/>
      <c r="F16" s="8"/>
    </row>
    <row r="17" spans="1:6" x14ac:dyDescent="0.35">
      <c r="A17" s="8" t="s">
        <v>206</v>
      </c>
      <c r="B17" s="8" t="s">
        <v>207</v>
      </c>
      <c r="C17" s="8" t="s">
        <v>209</v>
      </c>
      <c r="D17" s="8" t="s">
        <v>283</v>
      </c>
      <c r="E17" s="8"/>
      <c r="F17" s="8"/>
    </row>
    <row r="18" spans="1:6" x14ac:dyDescent="0.35">
      <c r="A18" s="8" t="s">
        <v>213</v>
      </c>
      <c r="B18" s="8" t="s">
        <v>214</v>
      </c>
      <c r="C18" s="8" t="s">
        <v>209</v>
      </c>
      <c r="D18" s="8" t="s">
        <v>284</v>
      </c>
      <c r="E18" s="8"/>
      <c r="F18" s="8"/>
    </row>
    <row r="19" spans="1:6" x14ac:dyDescent="0.35">
      <c r="A19" s="8" t="s">
        <v>213</v>
      </c>
      <c r="B19" s="8" t="s">
        <v>214</v>
      </c>
      <c r="C19" s="8" t="s">
        <v>209</v>
      </c>
      <c r="D19" s="8" t="s">
        <v>285</v>
      </c>
      <c r="E19" s="8"/>
      <c r="F19" s="8"/>
    </row>
    <row r="20" spans="1:6" x14ac:dyDescent="0.35">
      <c r="A20" s="8" t="s">
        <v>219</v>
      </c>
      <c r="B20" s="8" t="s">
        <v>220</v>
      </c>
      <c r="C20" s="8" t="s">
        <v>209</v>
      </c>
      <c r="D20" s="8" t="s">
        <v>286</v>
      </c>
      <c r="E20" s="8"/>
      <c r="F20" s="8"/>
    </row>
    <row r="21" spans="1:6" x14ac:dyDescent="0.35">
      <c r="A21" s="8" t="s">
        <v>219</v>
      </c>
      <c r="B21" s="8" t="s">
        <v>220</v>
      </c>
      <c r="C21" s="8" t="s">
        <v>209</v>
      </c>
      <c r="D21" s="8" t="s">
        <v>287</v>
      </c>
      <c r="E21" s="8"/>
      <c r="F21" s="8"/>
    </row>
    <row r="22" spans="1:6" x14ac:dyDescent="0.35">
      <c r="A22" s="8" t="s">
        <v>224</v>
      </c>
      <c r="B22" s="8" t="s">
        <v>225</v>
      </c>
      <c r="C22" s="8" t="s">
        <v>196</v>
      </c>
      <c r="D22" s="8" t="s">
        <v>288</v>
      </c>
      <c r="E22" s="8"/>
      <c r="F22" s="8"/>
    </row>
    <row r="23" spans="1:6" x14ac:dyDescent="0.35">
      <c r="A23" s="8" t="s">
        <v>224</v>
      </c>
      <c r="B23" s="8" t="s">
        <v>225</v>
      </c>
      <c r="C23" s="8" t="s">
        <v>196</v>
      </c>
      <c r="D23" s="8" t="s">
        <v>289</v>
      </c>
      <c r="E23" s="8"/>
      <c r="F23" s="8"/>
    </row>
    <row r="24" spans="1:6" x14ac:dyDescent="0.35">
      <c r="A24" s="8" t="s">
        <v>231</v>
      </c>
      <c r="B24" s="8" t="s">
        <v>232</v>
      </c>
      <c r="C24" s="8" t="s">
        <v>234</v>
      </c>
      <c r="D24" s="8" t="s">
        <v>290</v>
      </c>
      <c r="E24" s="8"/>
      <c r="F24" s="8"/>
    </row>
    <row r="25" spans="1:6" x14ac:dyDescent="0.35">
      <c r="A25" s="8" t="s">
        <v>231</v>
      </c>
      <c r="B25" s="8" t="s">
        <v>232</v>
      </c>
      <c r="C25" s="8" t="s">
        <v>234</v>
      </c>
      <c r="D25" s="8" t="s">
        <v>291</v>
      </c>
      <c r="E25" s="8"/>
      <c r="F25" s="8"/>
    </row>
    <row r="26" spans="1:6" x14ac:dyDescent="0.35">
      <c r="A26" s="8" t="s">
        <v>239</v>
      </c>
      <c r="B26" s="8" t="s">
        <v>240</v>
      </c>
      <c r="C26" s="8" t="s">
        <v>234</v>
      </c>
      <c r="D26" s="8" t="s">
        <v>292</v>
      </c>
      <c r="E26" s="8"/>
      <c r="F26" s="8"/>
    </row>
    <row r="27" spans="1:6" x14ac:dyDescent="0.35">
      <c r="A27" s="8" t="s">
        <v>239</v>
      </c>
      <c r="B27" s="8" t="s">
        <v>240</v>
      </c>
      <c r="C27" s="8" t="s">
        <v>234</v>
      </c>
      <c r="D27" s="8" t="s">
        <v>293</v>
      </c>
      <c r="E27" s="8"/>
      <c r="F27" s="8"/>
    </row>
    <row r="28" spans="1:6" x14ac:dyDescent="0.35">
      <c r="A28" s="8" t="s">
        <v>239</v>
      </c>
      <c r="B28" s="8" t="s">
        <v>240</v>
      </c>
      <c r="C28" s="8" t="s">
        <v>234</v>
      </c>
      <c r="D28" s="8" t="s">
        <v>294</v>
      </c>
      <c r="E28" s="8"/>
      <c r="F28" s="8"/>
    </row>
    <row r="29" spans="1:6" x14ac:dyDescent="0.35">
      <c r="A29" s="8" t="s">
        <v>245</v>
      </c>
      <c r="B29" s="8" t="s">
        <v>246</v>
      </c>
      <c r="C29" s="8" t="s">
        <v>196</v>
      </c>
      <c r="D29" s="8" t="s">
        <v>295</v>
      </c>
      <c r="E29" s="8"/>
      <c r="F29" s="8"/>
    </row>
    <row r="30" spans="1:6" x14ac:dyDescent="0.35">
      <c r="A30" s="8" t="s">
        <v>245</v>
      </c>
      <c r="B30" s="8" t="s">
        <v>246</v>
      </c>
      <c r="C30" s="8" t="s">
        <v>196</v>
      </c>
      <c r="D30" s="8" t="s">
        <v>296</v>
      </c>
      <c r="E30" s="8"/>
      <c r="F30" s="8"/>
    </row>
    <row r="31" spans="1:6" x14ac:dyDescent="0.35">
      <c r="A31" s="8" t="s">
        <v>250</v>
      </c>
      <c r="B31" s="8" t="s">
        <v>251</v>
      </c>
      <c r="C31" s="8" t="s">
        <v>234</v>
      </c>
      <c r="D31" s="8" t="s">
        <v>297</v>
      </c>
      <c r="E31" s="8"/>
      <c r="F31" s="8"/>
    </row>
    <row r="32" spans="1:6" x14ac:dyDescent="0.35">
      <c r="A32" s="8" t="s">
        <v>254</v>
      </c>
      <c r="B32" s="8" t="s">
        <v>255</v>
      </c>
      <c r="C32" s="8" t="s">
        <v>209</v>
      </c>
      <c r="D32" s="8" t="s">
        <v>298</v>
      </c>
      <c r="E32" s="8"/>
      <c r="F32" s="8"/>
    </row>
    <row r="33" spans="1:6" x14ac:dyDescent="0.35">
      <c r="A33" s="8" t="s">
        <v>260</v>
      </c>
      <c r="B33" s="8" t="s">
        <v>261</v>
      </c>
      <c r="C33" s="8" t="s">
        <v>170</v>
      </c>
      <c r="D33" s="8" t="s">
        <v>299</v>
      </c>
      <c r="E33" s="8"/>
      <c r="F33" s="8"/>
    </row>
    <row r="34" spans="1:6" x14ac:dyDescent="0.35">
      <c r="A34" s="8" t="s">
        <v>260</v>
      </c>
      <c r="B34" s="8" t="s">
        <v>261</v>
      </c>
      <c r="C34" s="8" t="s">
        <v>170</v>
      </c>
      <c r="D34" s="8" t="s">
        <v>300</v>
      </c>
      <c r="E34" s="8"/>
      <c r="F34" s="8"/>
    </row>
  </sheetData>
  <autoFilter ref="A3:F34"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6"/>
  <sheetViews>
    <sheetView showGridLines="0" workbookViewId="0">
      <pane ySplit="1" topLeftCell="A2" activePane="bottomLeft" state="frozen"/>
      <selection pane="bottomLeft"/>
    </sheetView>
  </sheetViews>
  <sheetFormatPr defaultRowHeight="14.5" x14ac:dyDescent="0.35"/>
  <cols>
    <col min="1" max="1" width="26" customWidth="1"/>
    <col min="2" max="2" width="40" customWidth="1"/>
    <col min="3" max="3" width="34" customWidth="1"/>
    <col min="4" max="4" width="44" customWidth="1"/>
  </cols>
  <sheetData>
    <row r="1" spans="1:4" x14ac:dyDescent="0.35">
      <c r="A1" s="7" t="s">
        <v>301</v>
      </c>
      <c r="B1" s="7" t="s">
        <v>302</v>
      </c>
      <c r="C1" s="7" t="s">
        <v>303</v>
      </c>
      <c r="D1" s="7" t="s">
        <v>304</v>
      </c>
    </row>
    <row r="2" spans="1:4" x14ac:dyDescent="0.35">
      <c r="A2" s="8" t="s">
        <v>305</v>
      </c>
      <c r="B2" s="8" t="s">
        <v>306</v>
      </c>
      <c r="C2" s="8" t="s">
        <v>307</v>
      </c>
      <c r="D2" s="8" t="s">
        <v>308</v>
      </c>
    </row>
    <row r="3" spans="1:4" x14ac:dyDescent="0.35">
      <c r="A3" s="8" t="s">
        <v>309</v>
      </c>
      <c r="B3" s="8" t="s">
        <v>310</v>
      </c>
      <c r="C3" s="8" t="s">
        <v>311</v>
      </c>
      <c r="D3" s="8" t="s">
        <v>312</v>
      </c>
    </row>
    <row r="4" spans="1:4" x14ac:dyDescent="0.35">
      <c r="A4" s="8" t="s">
        <v>313</v>
      </c>
      <c r="B4" s="8" t="s">
        <v>314</v>
      </c>
      <c r="C4" s="8" t="s">
        <v>315</v>
      </c>
      <c r="D4" s="8" t="s">
        <v>316</v>
      </c>
    </row>
    <row r="5" spans="1:4" x14ac:dyDescent="0.35">
      <c r="A5" s="8" t="s">
        <v>317</v>
      </c>
      <c r="B5" s="8" t="s">
        <v>318</v>
      </c>
      <c r="C5" s="8" t="s">
        <v>319</v>
      </c>
      <c r="D5" s="8" t="s">
        <v>316</v>
      </c>
    </row>
    <row r="6" spans="1:4" x14ac:dyDescent="0.35">
      <c r="A6" s="8" t="s">
        <v>320</v>
      </c>
      <c r="B6" s="8" t="s">
        <v>321</v>
      </c>
      <c r="C6" s="8" t="s">
        <v>322</v>
      </c>
      <c r="D6" s="8" t="s">
        <v>316</v>
      </c>
    </row>
    <row r="7" spans="1:4" x14ac:dyDescent="0.35">
      <c r="A7" s="8" t="s">
        <v>323</v>
      </c>
      <c r="B7" s="8" t="s">
        <v>324</v>
      </c>
      <c r="C7" s="8" t="s">
        <v>325</v>
      </c>
      <c r="D7" s="8" t="s">
        <v>308</v>
      </c>
    </row>
    <row r="8" spans="1:4" x14ac:dyDescent="0.35">
      <c r="A8" s="8" t="s">
        <v>326</v>
      </c>
      <c r="B8" s="8" t="s">
        <v>327</v>
      </c>
      <c r="C8" s="8" t="s">
        <v>328</v>
      </c>
      <c r="D8" s="8" t="s">
        <v>308</v>
      </c>
    </row>
    <row r="9" spans="1:4" ht="25" x14ac:dyDescent="0.35">
      <c r="A9" s="8" t="s">
        <v>329</v>
      </c>
      <c r="B9" s="8" t="s">
        <v>330</v>
      </c>
      <c r="C9" s="8" t="s">
        <v>331</v>
      </c>
      <c r="D9" s="8" t="s">
        <v>332</v>
      </c>
    </row>
    <row r="10" spans="1:4" ht="25" x14ac:dyDescent="0.35">
      <c r="A10" s="8" t="s">
        <v>333</v>
      </c>
      <c r="B10" s="8" t="s">
        <v>334</v>
      </c>
      <c r="C10" s="8" t="s">
        <v>335</v>
      </c>
      <c r="D10" s="8" t="s">
        <v>336</v>
      </c>
    </row>
    <row r="11" spans="1:4" ht="25" x14ac:dyDescent="0.35">
      <c r="A11" s="8" t="s">
        <v>337</v>
      </c>
      <c r="B11" s="8" t="s">
        <v>338</v>
      </c>
      <c r="C11" s="8" t="s">
        <v>339</v>
      </c>
      <c r="D11" s="8" t="s">
        <v>308</v>
      </c>
    </row>
    <row r="12" spans="1:4" x14ac:dyDescent="0.35">
      <c r="A12" s="8" t="s">
        <v>340</v>
      </c>
      <c r="B12" s="8" t="s">
        <v>341</v>
      </c>
      <c r="C12" s="8" t="s">
        <v>342</v>
      </c>
      <c r="D12" s="8" t="s">
        <v>308</v>
      </c>
    </row>
    <row r="13" spans="1:4" x14ac:dyDescent="0.35">
      <c r="A13" s="8" t="s">
        <v>343</v>
      </c>
      <c r="B13" s="8" t="s">
        <v>344</v>
      </c>
      <c r="C13" s="8" t="s">
        <v>345</v>
      </c>
      <c r="D13" s="8" t="s">
        <v>346</v>
      </c>
    </row>
    <row r="14" spans="1:4" x14ac:dyDescent="0.35">
      <c r="A14" s="8" t="s">
        <v>347</v>
      </c>
      <c r="B14" s="8" t="s">
        <v>348</v>
      </c>
      <c r="C14" s="8" t="s">
        <v>349</v>
      </c>
      <c r="D14" s="8" t="s">
        <v>350</v>
      </c>
    </row>
    <row r="15" spans="1:4" x14ac:dyDescent="0.35">
      <c r="A15" s="8" t="s">
        <v>351</v>
      </c>
      <c r="B15" s="8" t="s">
        <v>352</v>
      </c>
      <c r="C15" s="8" t="s">
        <v>353</v>
      </c>
      <c r="D15" s="8" t="s">
        <v>308</v>
      </c>
    </row>
    <row r="16" spans="1:4" x14ac:dyDescent="0.35">
      <c r="A16" s="8" t="s">
        <v>354</v>
      </c>
      <c r="B16" s="8" t="s">
        <v>355</v>
      </c>
      <c r="C16" s="8" t="s">
        <v>356</v>
      </c>
      <c r="D16" s="8" t="s">
        <v>350</v>
      </c>
    </row>
  </sheetData>
  <autoFilter ref="A1:D16"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75"/>
  <sheetViews>
    <sheetView showGridLines="0" workbookViewId="0">
      <pane ySplit="1" topLeftCell="A2" activePane="bottomLeft" state="frozen"/>
      <selection pane="bottomLeft"/>
    </sheetView>
  </sheetViews>
  <sheetFormatPr defaultRowHeight="14.5" x14ac:dyDescent="0.35"/>
  <cols>
    <col min="1" max="1" width="34" customWidth="1"/>
    <col min="2" max="2" width="26" customWidth="1"/>
    <col min="3" max="3" width="60" customWidth="1"/>
    <col min="4" max="4" width="22" customWidth="1"/>
    <col min="5" max="5" width="28" customWidth="1"/>
  </cols>
  <sheetData>
    <row r="1" spans="1:5" x14ac:dyDescent="0.35">
      <c r="A1" s="7" t="s">
        <v>301</v>
      </c>
      <c r="B1" s="7" t="s">
        <v>357</v>
      </c>
      <c r="C1" s="7" t="s">
        <v>358</v>
      </c>
      <c r="D1" s="7" t="s">
        <v>359</v>
      </c>
      <c r="E1" s="7" t="s">
        <v>360</v>
      </c>
    </row>
    <row r="2" spans="1:5" x14ac:dyDescent="0.35">
      <c r="A2" s="8" t="s">
        <v>361</v>
      </c>
      <c r="B2" s="8" t="s">
        <v>307</v>
      </c>
      <c r="C2" s="8" t="s">
        <v>362</v>
      </c>
      <c r="D2" s="8" t="s">
        <v>363</v>
      </c>
      <c r="E2" s="8" t="s">
        <v>364</v>
      </c>
    </row>
    <row r="3" spans="1:5" x14ac:dyDescent="0.35">
      <c r="A3" s="8" t="s">
        <v>361</v>
      </c>
      <c r="B3" s="8" t="s">
        <v>365</v>
      </c>
      <c r="C3" s="8" t="s">
        <v>366</v>
      </c>
      <c r="D3" s="8" t="s">
        <v>367</v>
      </c>
      <c r="E3" s="8" t="s">
        <v>368</v>
      </c>
    </row>
    <row r="4" spans="1:5" x14ac:dyDescent="0.35">
      <c r="A4" s="8" t="s">
        <v>361</v>
      </c>
      <c r="B4" s="8" t="s">
        <v>369</v>
      </c>
      <c r="C4" s="8" t="s">
        <v>370</v>
      </c>
      <c r="D4" s="8" t="s">
        <v>371</v>
      </c>
      <c r="E4" s="8" t="s">
        <v>372</v>
      </c>
    </row>
    <row r="5" spans="1:5" x14ac:dyDescent="0.35">
      <c r="A5" s="8" t="s">
        <v>361</v>
      </c>
      <c r="B5" s="8" t="s">
        <v>373</v>
      </c>
      <c r="C5" s="8" t="s">
        <v>374</v>
      </c>
      <c r="D5" s="8" t="s">
        <v>375</v>
      </c>
      <c r="E5" s="8" t="s">
        <v>376</v>
      </c>
    </row>
    <row r="6" spans="1:5" x14ac:dyDescent="0.35">
      <c r="A6" s="8" t="s">
        <v>361</v>
      </c>
      <c r="B6" s="8" t="s">
        <v>377</v>
      </c>
      <c r="C6" s="8" t="s">
        <v>378</v>
      </c>
      <c r="D6" s="8" t="s">
        <v>379</v>
      </c>
      <c r="E6" s="8" t="s">
        <v>380</v>
      </c>
    </row>
    <row r="7" spans="1:5" x14ac:dyDescent="0.35">
      <c r="A7" s="8" t="s">
        <v>361</v>
      </c>
      <c r="B7" s="8" t="s">
        <v>381</v>
      </c>
      <c r="C7" s="8" t="s">
        <v>382</v>
      </c>
      <c r="D7" s="8" t="s">
        <v>383</v>
      </c>
      <c r="E7" s="8" t="s">
        <v>384</v>
      </c>
    </row>
    <row r="8" spans="1:5" x14ac:dyDescent="0.35">
      <c r="A8" s="8" t="s">
        <v>361</v>
      </c>
      <c r="B8" s="8" t="s">
        <v>385</v>
      </c>
      <c r="C8" s="8" t="s">
        <v>386</v>
      </c>
      <c r="D8" s="8" t="s">
        <v>387</v>
      </c>
      <c r="E8" s="8" t="s">
        <v>388</v>
      </c>
    </row>
    <row r="9" spans="1:5" x14ac:dyDescent="0.35">
      <c r="A9" s="8" t="s">
        <v>389</v>
      </c>
      <c r="B9" s="8" t="s">
        <v>311</v>
      </c>
      <c r="C9" s="8" t="s">
        <v>390</v>
      </c>
      <c r="D9" s="8" t="s">
        <v>363</v>
      </c>
      <c r="E9" s="8" t="s">
        <v>391</v>
      </c>
    </row>
    <row r="10" spans="1:5" x14ac:dyDescent="0.35">
      <c r="A10" s="8" t="s">
        <v>389</v>
      </c>
      <c r="B10" s="8" t="s">
        <v>307</v>
      </c>
      <c r="C10" s="8" t="s">
        <v>392</v>
      </c>
      <c r="D10" s="8" t="s">
        <v>363</v>
      </c>
      <c r="E10" s="8" t="s">
        <v>364</v>
      </c>
    </row>
    <row r="11" spans="1:5" x14ac:dyDescent="0.35">
      <c r="A11" s="8" t="s">
        <v>389</v>
      </c>
      <c r="B11" s="8" t="s">
        <v>393</v>
      </c>
      <c r="C11" s="8" t="s">
        <v>394</v>
      </c>
      <c r="D11" s="8" t="s">
        <v>363</v>
      </c>
      <c r="E11" s="8" t="s">
        <v>395</v>
      </c>
    </row>
    <row r="12" spans="1:5" x14ac:dyDescent="0.35">
      <c r="A12" s="8" t="s">
        <v>389</v>
      </c>
      <c r="B12" s="8" t="s">
        <v>396</v>
      </c>
      <c r="C12" s="8" t="s">
        <v>397</v>
      </c>
      <c r="D12" s="8" t="s">
        <v>398</v>
      </c>
      <c r="E12" s="8" t="s">
        <v>399</v>
      </c>
    </row>
    <row r="13" spans="1:5" x14ac:dyDescent="0.35">
      <c r="A13" s="8" t="s">
        <v>389</v>
      </c>
      <c r="B13" s="8" t="s">
        <v>400</v>
      </c>
      <c r="C13" s="8" t="s">
        <v>401</v>
      </c>
      <c r="D13" s="8" t="s">
        <v>402</v>
      </c>
      <c r="E13" s="8" t="s">
        <v>403</v>
      </c>
    </row>
    <row r="14" spans="1:5" x14ac:dyDescent="0.35">
      <c r="A14" s="8" t="s">
        <v>389</v>
      </c>
      <c r="B14" s="8" t="s">
        <v>404</v>
      </c>
      <c r="C14" s="8" t="s">
        <v>405</v>
      </c>
      <c r="D14" s="8" t="s">
        <v>387</v>
      </c>
      <c r="E14" s="8" t="s">
        <v>406</v>
      </c>
    </row>
    <row r="15" spans="1:5" x14ac:dyDescent="0.35">
      <c r="A15" s="8" t="s">
        <v>389</v>
      </c>
      <c r="B15" s="8" t="s">
        <v>407</v>
      </c>
      <c r="C15" s="8" t="s">
        <v>408</v>
      </c>
      <c r="D15" s="8" t="s">
        <v>387</v>
      </c>
      <c r="E15" s="8" t="s">
        <v>409</v>
      </c>
    </row>
    <row r="16" spans="1:5" x14ac:dyDescent="0.35">
      <c r="A16" s="8" t="s">
        <v>389</v>
      </c>
      <c r="B16" s="8" t="s">
        <v>410</v>
      </c>
      <c r="C16" s="8" t="s">
        <v>411</v>
      </c>
      <c r="D16" s="8" t="s">
        <v>412</v>
      </c>
      <c r="E16" s="8" t="s">
        <v>413</v>
      </c>
    </row>
    <row r="17" spans="1:5" x14ac:dyDescent="0.35">
      <c r="A17" s="8" t="s">
        <v>389</v>
      </c>
      <c r="B17" s="8" t="s">
        <v>414</v>
      </c>
      <c r="C17" s="8" t="s">
        <v>415</v>
      </c>
      <c r="D17" s="8" t="s">
        <v>416</v>
      </c>
      <c r="E17" s="8" t="s">
        <v>417</v>
      </c>
    </row>
    <row r="18" spans="1:5" x14ac:dyDescent="0.35">
      <c r="A18" s="8" t="s">
        <v>389</v>
      </c>
      <c r="B18" s="8" t="s">
        <v>418</v>
      </c>
      <c r="C18" s="8" t="s">
        <v>419</v>
      </c>
      <c r="D18" s="8" t="s">
        <v>402</v>
      </c>
      <c r="E18" s="8" t="s">
        <v>420</v>
      </c>
    </row>
    <row r="19" spans="1:5" x14ac:dyDescent="0.35">
      <c r="A19" s="8" t="s">
        <v>389</v>
      </c>
      <c r="B19" s="8" t="s">
        <v>421</v>
      </c>
      <c r="C19" s="8" t="s">
        <v>422</v>
      </c>
      <c r="D19" s="8" t="s">
        <v>423</v>
      </c>
      <c r="E19" s="8" t="s">
        <v>424</v>
      </c>
    </row>
    <row r="20" spans="1:5" x14ac:dyDescent="0.35">
      <c r="A20" s="8" t="s">
        <v>389</v>
      </c>
      <c r="B20" s="8" t="s">
        <v>425</v>
      </c>
      <c r="C20" s="8" t="s">
        <v>426</v>
      </c>
      <c r="D20" s="8" t="s">
        <v>363</v>
      </c>
      <c r="E20" s="8" t="s">
        <v>427</v>
      </c>
    </row>
    <row r="21" spans="1:5" x14ac:dyDescent="0.35">
      <c r="A21" s="8" t="s">
        <v>428</v>
      </c>
      <c r="B21" s="8" t="s">
        <v>311</v>
      </c>
      <c r="C21" s="8" t="s">
        <v>390</v>
      </c>
      <c r="D21" s="8" t="s">
        <v>363</v>
      </c>
      <c r="E21" s="8" t="s">
        <v>391</v>
      </c>
    </row>
    <row r="22" spans="1:5" x14ac:dyDescent="0.35">
      <c r="A22" s="8" t="s">
        <v>428</v>
      </c>
      <c r="B22" s="8" t="s">
        <v>429</v>
      </c>
      <c r="C22" s="8" t="s">
        <v>430</v>
      </c>
      <c r="D22" s="8" t="s">
        <v>387</v>
      </c>
      <c r="E22" s="8" t="s">
        <v>431</v>
      </c>
    </row>
    <row r="23" spans="1:5" x14ac:dyDescent="0.35">
      <c r="A23" s="8" t="s">
        <v>428</v>
      </c>
      <c r="B23" s="8" t="s">
        <v>432</v>
      </c>
      <c r="C23" s="8" t="s">
        <v>433</v>
      </c>
      <c r="D23" s="8" t="s">
        <v>412</v>
      </c>
      <c r="E23" s="8" t="s">
        <v>434</v>
      </c>
    </row>
    <row r="24" spans="1:5" x14ac:dyDescent="0.35">
      <c r="A24" s="8" t="s">
        <v>428</v>
      </c>
      <c r="B24" s="8" t="s">
        <v>435</v>
      </c>
      <c r="C24" s="8" t="s">
        <v>436</v>
      </c>
      <c r="D24" s="8" t="s">
        <v>412</v>
      </c>
      <c r="E24" s="8" t="s">
        <v>437</v>
      </c>
    </row>
    <row r="25" spans="1:5" x14ac:dyDescent="0.35">
      <c r="A25" s="8" t="s">
        <v>428</v>
      </c>
      <c r="B25" s="8" t="s">
        <v>438</v>
      </c>
      <c r="C25" s="8" t="s">
        <v>439</v>
      </c>
      <c r="D25" s="8" t="s">
        <v>440</v>
      </c>
      <c r="E25" s="8" t="s">
        <v>441</v>
      </c>
    </row>
    <row r="26" spans="1:5" x14ac:dyDescent="0.35">
      <c r="A26" s="8" t="s">
        <v>428</v>
      </c>
      <c r="B26" s="8" t="s">
        <v>442</v>
      </c>
      <c r="C26" s="8" t="s">
        <v>443</v>
      </c>
      <c r="D26" s="8" t="s">
        <v>363</v>
      </c>
      <c r="E26" s="8" t="s">
        <v>444</v>
      </c>
    </row>
    <row r="27" spans="1:5" ht="25" x14ac:dyDescent="0.35">
      <c r="A27" s="8" t="s">
        <v>445</v>
      </c>
      <c r="B27" s="8" t="s">
        <v>319</v>
      </c>
      <c r="C27" s="8" t="s">
        <v>446</v>
      </c>
      <c r="D27" s="8" t="s">
        <v>447</v>
      </c>
      <c r="E27" s="8" t="s">
        <v>448</v>
      </c>
    </row>
    <row r="28" spans="1:5" ht="25" x14ac:dyDescent="0.35">
      <c r="A28" s="8" t="s">
        <v>445</v>
      </c>
      <c r="B28" s="8" t="s">
        <v>311</v>
      </c>
      <c r="C28" s="8" t="s">
        <v>390</v>
      </c>
      <c r="D28" s="8" t="s">
        <v>363</v>
      </c>
      <c r="E28" s="8" t="s">
        <v>449</v>
      </c>
    </row>
    <row r="29" spans="1:5" ht="25" x14ac:dyDescent="0.35">
      <c r="A29" s="8" t="s">
        <v>445</v>
      </c>
      <c r="B29" s="8" t="s">
        <v>450</v>
      </c>
      <c r="C29" s="8" t="s">
        <v>451</v>
      </c>
      <c r="D29" s="8" t="s">
        <v>402</v>
      </c>
      <c r="E29" s="8" t="s">
        <v>452</v>
      </c>
    </row>
    <row r="30" spans="1:5" ht="25" x14ac:dyDescent="0.35">
      <c r="A30" s="8" t="s">
        <v>445</v>
      </c>
      <c r="B30" s="8" t="s">
        <v>453</v>
      </c>
      <c r="C30" s="8" t="s">
        <v>454</v>
      </c>
      <c r="D30" s="8" t="s">
        <v>455</v>
      </c>
      <c r="E30" s="8" t="s">
        <v>456</v>
      </c>
    </row>
    <row r="31" spans="1:5" ht="25" x14ac:dyDescent="0.35">
      <c r="A31" s="8" t="s">
        <v>445</v>
      </c>
      <c r="B31" s="8" t="s">
        <v>457</v>
      </c>
      <c r="C31" s="8" t="s">
        <v>458</v>
      </c>
      <c r="D31" s="8" t="s">
        <v>387</v>
      </c>
      <c r="E31" s="8" t="s">
        <v>459</v>
      </c>
    </row>
    <row r="32" spans="1:5" ht="25" x14ac:dyDescent="0.35">
      <c r="A32" s="8" t="s">
        <v>445</v>
      </c>
      <c r="B32" s="8" t="s">
        <v>460</v>
      </c>
      <c r="C32" s="8" t="s">
        <v>461</v>
      </c>
      <c r="D32" s="8" t="s">
        <v>462</v>
      </c>
      <c r="E32" s="8" t="s">
        <v>463</v>
      </c>
    </row>
    <row r="33" spans="1:5" x14ac:dyDescent="0.35">
      <c r="A33" s="8" t="s">
        <v>464</v>
      </c>
      <c r="B33" s="8" t="s">
        <v>322</v>
      </c>
      <c r="C33" s="8" t="s">
        <v>465</v>
      </c>
      <c r="D33" s="8" t="s">
        <v>363</v>
      </c>
      <c r="E33" s="8" t="s">
        <v>466</v>
      </c>
    </row>
    <row r="34" spans="1:5" x14ac:dyDescent="0.35">
      <c r="A34" s="8" t="s">
        <v>464</v>
      </c>
      <c r="B34" s="8" t="s">
        <v>311</v>
      </c>
      <c r="C34" s="8" t="s">
        <v>467</v>
      </c>
      <c r="D34" s="8" t="s">
        <v>363</v>
      </c>
      <c r="E34" s="8" t="s">
        <v>468</v>
      </c>
    </row>
    <row r="35" spans="1:5" x14ac:dyDescent="0.35">
      <c r="A35" s="8" t="s">
        <v>464</v>
      </c>
      <c r="B35" s="8" t="s">
        <v>469</v>
      </c>
      <c r="C35" s="8" t="s">
        <v>470</v>
      </c>
      <c r="D35" s="8" t="s">
        <v>363</v>
      </c>
      <c r="E35" s="8" t="s">
        <v>471</v>
      </c>
    </row>
    <row r="36" spans="1:5" ht="25" x14ac:dyDescent="0.35">
      <c r="A36" s="8" t="s">
        <v>464</v>
      </c>
      <c r="B36" s="8" t="s">
        <v>472</v>
      </c>
      <c r="C36" s="8" t="s">
        <v>473</v>
      </c>
      <c r="D36" s="8" t="s">
        <v>455</v>
      </c>
      <c r="E36" s="8" t="s">
        <v>474</v>
      </c>
    </row>
    <row r="37" spans="1:5" x14ac:dyDescent="0.35">
      <c r="A37" s="8" t="s">
        <v>464</v>
      </c>
      <c r="B37" s="8" t="s">
        <v>475</v>
      </c>
      <c r="C37" s="8" t="s">
        <v>476</v>
      </c>
      <c r="D37" s="8" t="s">
        <v>412</v>
      </c>
      <c r="E37" s="8" t="s">
        <v>477</v>
      </c>
    </row>
    <row r="38" spans="1:5" x14ac:dyDescent="0.35">
      <c r="A38" s="8" t="s">
        <v>464</v>
      </c>
      <c r="B38" s="8" t="s">
        <v>478</v>
      </c>
      <c r="C38" s="8" t="s">
        <v>479</v>
      </c>
      <c r="D38" s="8" t="s">
        <v>387</v>
      </c>
      <c r="E38" s="8" t="s">
        <v>480</v>
      </c>
    </row>
    <row r="39" spans="1:5" x14ac:dyDescent="0.35">
      <c r="A39" s="8" t="s">
        <v>481</v>
      </c>
      <c r="B39" s="8" t="s">
        <v>482</v>
      </c>
      <c r="C39" s="8" t="s">
        <v>483</v>
      </c>
      <c r="D39" s="8" t="s">
        <v>402</v>
      </c>
      <c r="E39" s="8" t="s">
        <v>484</v>
      </c>
    </row>
    <row r="40" spans="1:5" x14ac:dyDescent="0.35">
      <c r="A40" s="8" t="s">
        <v>481</v>
      </c>
      <c r="B40" s="8" t="s">
        <v>485</v>
      </c>
      <c r="C40" s="8" t="s">
        <v>486</v>
      </c>
      <c r="D40" s="8" t="s">
        <v>383</v>
      </c>
      <c r="E40" s="8" t="s">
        <v>487</v>
      </c>
    </row>
    <row r="41" spans="1:5" x14ac:dyDescent="0.35">
      <c r="A41" s="8" t="s">
        <v>481</v>
      </c>
      <c r="B41" s="8" t="s">
        <v>488</v>
      </c>
      <c r="C41" s="8" t="s">
        <v>489</v>
      </c>
      <c r="D41" s="8" t="s">
        <v>375</v>
      </c>
      <c r="E41" s="8" t="s">
        <v>490</v>
      </c>
    </row>
    <row r="42" spans="1:5" x14ac:dyDescent="0.35">
      <c r="A42" s="8" t="s">
        <v>481</v>
      </c>
      <c r="B42" s="8" t="s">
        <v>491</v>
      </c>
      <c r="C42" s="8" t="s">
        <v>492</v>
      </c>
      <c r="D42" s="8" t="s">
        <v>493</v>
      </c>
      <c r="E42" s="8" t="s">
        <v>494</v>
      </c>
    </row>
    <row r="43" spans="1:5" x14ac:dyDescent="0.35">
      <c r="A43" s="8" t="s">
        <v>481</v>
      </c>
      <c r="B43" s="8" t="s">
        <v>495</v>
      </c>
      <c r="C43" s="8" t="s">
        <v>496</v>
      </c>
      <c r="D43" s="8" t="s">
        <v>493</v>
      </c>
      <c r="E43" s="8" t="s">
        <v>497</v>
      </c>
    </row>
    <row r="44" spans="1:5" x14ac:dyDescent="0.35">
      <c r="A44" s="8" t="s">
        <v>481</v>
      </c>
      <c r="B44" s="8" t="s">
        <v>498</v>
      </c>
      <c r="C44" s="8" t="s">
        <v>499</v>
      </c>
      <c r="D44" s="8" t="s">
        <v>493</v>
      </c>
      <c r="E44" s="8" t="s">
        <v>500</v>
      </c>
    </row>
    <row r="45" spans="1:5" ht="25" x14ac:dyDescent="0.35">
      <c r="A45" s="8" t="s">
        <v>481</v>
      </c>
      <c r="B45" s="8" t="s">
        <v>501</v>
      </c>
      <c r="C45" s="8" t="s">
        <v>502</v>
      </c>
      <c r="D45" s="8" t="s">
        <v>493</v>
      </c>
      <c r="E45" s="8" t="s">
        <v>503</v>
      </c>
    </row>
    <row r="46" spans="1:5" x14ac:dyDescent="0.35">
      <c r="A46" s="8" t="s">
        <v>481</v>
      </c>
      <c r="B46" s="8" t="s">
        <v>504</v>
      </c>
      <c r="C46" s="8" t="s">
        <v>505</v>
      </c>
      <c r="D46" s="8" t="s">
        <v>506</v>
      </c>
      <c r="E46" s="8" t="s">
        <v>507</v>
      </c>
    </row>
    <row r="47" spans="1:5" x14ac:dyDescent="0.35">
      <c r="A47" s="8" t="s">
        <v>481</v>
      </c>
      <c r="B47" s="8" t="s">
        <v>508</v>
      </c>
      <c r="C47" s="8" t="s">
        <v>509</v>
      </c>
      <c r="D47" s="8" t="s">
        <v>493</v>
      </c>
      <c r="E47" s="8" t="s">
        <v>510</v>
      </c>
    </row>
    <row r="48" spans="1:5" x14ac:dyDescent="0.35">
      <c r="A48" s="8" t="s">
        <v>481</v>
      </c>
      <c r="B48" s="8" t="s">
        <v>511</v>
      </c>
      <c r="C48" s="8" t="s">
        <v>512</v>
      </c>
      <c r="D48" s="8" t="s">
        <v>513</v>
      </c>
      <c r="E48" s="8" t="s">
        <v>514</v>
      </c>
    </row>
    <row r="49" spans="1:5" x14ac:dyDescent="0.35">
      <c r="A49" s="8" t="s">
        <v>481</v>
      </c>
      <c r="B49" s="8" t="s">
        <v>515</v>
      </c>
      <c r="C49" s="8" t="s">
        <v>516</v>
      </c>
      <c r="D49" s="8" t="s">
        <v>517</v>
      </c>
      <c r="E49" s="8" t="s">
        <v>518</v>
      </c>
    </row>
    <row r="50" spans="1:5" x14ac:dyDescent="0.35">
      <c r="A50" s="8" t="s">
        <v>519</v>
      </c>
      <c r="B50" s="8" t="s">
        <v>328</v>
      </c>
      <c r="C50" s="8" t="s">
        <v>446</v>
      </c>
      <c r="D50" s="8" t="s">
        <v>440</v>
      </c>
      <c r="E50" s="8" t="s">
        <v>520</v>
      </c>
    </row>
    <row r="51" spans="1:5" ht="25" x14ac:dyDescent="0.35">
      <c r="A51" s="8" t="s">
        <v>519</v>
      </c>
      <c r="B51" s="8" t="s">
        <v>521</v>
      </c>
      <c r="C51" s="8" t="s">
        <v>522</v>
      </c>
      <c r="D51" s="8" t="s">
        <v>398</v>
      </c>
      <c r="E51" s="8" t="s">
        <v>523</v>
      </c>
    </row>
    <row r="52" spans="1:5" x14ac:dyDescent="0.35">
      <c r="A52" s="8" t="s">
        <v>519</v>
      </c>
      <c r="B52" s="8" t="s">
        <v>524</v>
      </c>
      <c r="C52" s="8" t="s">
        <v>525</v>
      </c>
      <c r="D52" s="8" t="s">
        <v>398</v>
      </c>
      <c r="E52" s="8" t="s">
        <v>384</v>
      </c>
    </row>
    <row r="53" spans="1:5" x14ac:dyDescent="0.35">
      <c r="A53" s="8" t="s">
        <v>519</v>
      </c>
      <c r="B53" s="8" t="s">
        <v>526</v>
      </c>
      <c r="C53" s="8" t="s">
        <v>527</v>
      </c>
      <c r="D53" s="8" t="s">
        <v>528</v>
      </c>
      <c r="E53" s="8" t="s">
        <v>529</v>
      </c>
    </row>
    <row r="54" spans="1:5" x14ac:dyDescent="0.35">
      <c r="A54" s="8" t="s">
        <v>519</v>
      </c>
      <c r="B54" s="8" t="s">
        <v>530</v>
      </c>
      <c r="C54" s="8" t="s">
        <v>531</v>
      </c>
      <c r="D54" s="8" t="s">
        <v>387</v>
      </c>
      <c r="E54" s="8" t="s">
        <v>532</v>
      </c>
    </row>
    <row r="55" spans="1:5" x14ac:dyDescent="0.35">
      <c r="A55" s="8" t="s">
        <v>519</v>
      </c>
      <c r="B55" s="8" t="s">
        <v>485</v>
      </c>
      <c r="C55" s="8" t="s">
        <v>533</v>
      </c>
      <c r="D55" s="8" t="s">
        <v>383</v>
      </c>
      <c r="E55" s="8" t="s">
        <v>487</v>
      </c>
    </row>
    <row r="56" spans="1:5" x14ac:dyDescent="0.35">
      <c r="A56" s="8" t="s">
        <v>534</v>
      </c>
      <c r="B56" s="8" t="s">
        <v>342</v>
      </c>
      <c r="C56" s="8" t="s">
        <v>535</v>
      </c>
      <c r="D56" s="8" t="s">
        <v>398</v>
      </c>
      <c r="E56" s="8" t="s">
        <v>536</v>
      </c>
    </row>
    <row r="57" spans="1:5" x14ac:dyDescent="0.35">
      <c r="A57" s="8" t="s">
        <v>534</v>
      </c>
      <c r="B57" s="8" t="s">
        <v>311</v>
      </c>
      <c r="C57" s="8" t="s">
        <v>537</v>
      </c>
      <c r="D57" s="8" t="s">
        <v>363</v>
      </c>
      <c r="E57" s="8" t="s">
        <v>391</v>
      </c>
    </row>
    <row r="58" spans="1:5" x14ac:dyDescent="0.35">
      <c r="A58" s="8" t="s">
        <v>534</v>
      </c>
      <c r="B58" s="8" t="s">
        <v>482</v>
      </c>
      <c r="C58" s="8" t="s">
        <v>267</v>
      </c>
      <c r="D58" s="8" t="s">
        <v>402</v>
      </c>
      <c r="E58" s="8" t="s">
        <v>484</v>
      </c>
    </row>
    <row r="59" spans="1:5" x14ac:dyDescent="0.35">
      <c r="A59" s="8" t="s">
        <v>534</v>
      </c>
      <c r="B59" s="8" t="s">
        <v>538</v>
      </c>
      <c r="C59" s="8" t="s">
        <v>539</v>
      </c>
      <c r="D59" s="8" t="s">
        <v>528</v>
      </c>
      <c r="E59" s="8" t="s">
        <v>529</v>
      </c>
    </row>
    <row r="60" spans="1:5" x14ac:dyDescent="0.35">
      <c r="A60" s="8" t="s">
        <v>534</v>
      </c>
      <c r="B60" s="8" t="s">
        <v>540</v>
      </c>
      <c r="C60" s="8" t="s">
        <v>541</v>
      </c>
      <c r="D60" s="8" t="s">
        <v>528</v>
      </c>
      <c r="E60" s="8" t="s">
        <v>542</v>
      </c>
    </row>
    <row r="61" spans="1:5" x14ac:dyDescent="0.35">
      <c r="A61" s="8" t="s">
        <v>534</v>
      </c>
      <c r="B61" s="8" t="s">
        <v>543</v>
      </c>
      <c r="C61" s="8" t="s">
        <v>544</v>
      </c>
      <c r="D61" s="8" t="s">
        <v>528</v>
      </c>
      <c r="E61" s="8" t="s">
        <v>545</v>
      </c>
    </row>
    <row r="62" spans="1:5" x14ac:dyDescent="0.35">
      <c r="A62" s="8" t="s">
        <v>534</v>
      </c>
      <c r="B62" s="8" t="s">
        <v>546</v>
      </c>
      <c r="C62" s="8" t="s">
        <v>547</v>
      </c>
      <c r="D62" s="8" t="s">
        <v>412</v>
      </c>
      <c r="E62" s="8" t="s">
        <v>548</v>
      </c>
    </row>
    <row r="63" spans="1:5" x14ac:dyDescent="0.35">
      <c r="A63" s="8" t="s">
        <v>534</v>
      </c>
      <c r="B63" s="8" t="s">
        <v>549</v>
      </c>
      <c r="C63" s="8" t="s">
        <v>550</v>
      </c>
      <c r="D63" s="8" t="s">
        <v>528</v>
      </c>
      <c r="E63" s="8" t="s">
        <v>551</v>
      </c>
    </row>
    <row r="64" spans="1:5" x14ac:dyDescent="0.35">
      <c r="A64" s="8" t="s">
        <v>534</v>
      </c>
      <c r="B64" s="8" t="s">
        <v>552</v>
      </c>
      <c r="C64" s="8" t="s">
        <v>553</v>
      </c>
      <c r="D64" s="8" t="s">
        <v>412</v>
      </c>
      <c r="E64" s="8" t="s">
        <v>554</v>
      </c>
    </row>
    <row r="65" spans="1:5" x14ac:dyDescent="0.35">
      <c r="A65" s="8" t="s">
        <v>534</v>
      </c>
      <c r="B65" s="8" t="s">
        <v>555</v>
      </c>
      <c r="C65" s="8" t="s">
        <v>556</v>
      </c>
      <c r="D65" s="8" t="s">
        <v>493</v>
      </c>
      <c r="E65" s="8" t="s">
        <v>557</v>
      </c>
    </row>
    <row r="66" spans="1:5" x14ac:dyDescent="0.35">
      <c r="A66" s="8" t="s">
        <v>534</v>
      </c>
      <c r="B66" s="8" t="s">
        <v>558</v>
      </c>
      <c r="C66" s="8" t="s">
        <v>559</v>
      </c>
      <c r="D66" s="8" t="s">
        <v>412</v>
      </c>
      <c r="E66" s="8" t="s">
        <v>548</v>
      </c>
    </row>
    <row r="67" spans="1:5" ht="25" x14ac:dyDescent="0.35">
      <c r="A67" s="8" t="s">
        <v>560</v>
      </c>
      <c r="B67" s="8" t="s">
        <v>561</v>
      </c>
      <c r="C67" s="8" t="s">
        <v>562</v>
      </c>
      <c r="D67" s="8" t="s">
        <v>517</v>
      </c>
      <c r="E67" s="8" t="s">
        <v>563</v>
      </c>
    </row>
    <row r="68" spans="1:5" ht="25" x14ac:dyDescent="0.35">
      <c r="A68" s="8" t="s">
        <v>560</v>
      </c>
      <c r="B68" s="8" t="s">
        <v>342</v>
      </c>
      <c r="C68" s="8" t="s">
        <v>564</v>
      </c>
      <c r="D68" s="8" t="s">
        <v>398</v>
      </c>
      <c r="E68" s="8" t="s">
        <v>536</v>
      </c>
    </row>
    <row r="69" spans="1:5" ht="25" x14ac:dyDescent="0.35">
      <c r="A69" s="8" t="s">
        <v>560</v>
      </c>
      <c r="B69" s="8" t="s">
        <v>565</v>
      </c>
      <c r="C69" s="8" t="s">
        <v>566</v>
      </c>
      <c r="D69" s="8" t="s">
        <v>567</v>
      </c>
      <c r="E69" s="8" t="s">
        <v>568</v>
      </c>
    </row>
    <row r="70" spans="1:5" ht="25" x14ac:dyDescent="0.35">
      <c r="A70" s="8" t="s">
        <v>560</v>
      </c>
      <c r="B70" s="8" t="s">
        <v>485</v>
      </c>
      <c r="C70" s="8" t="s">
        <v>569</v>
      </c>
      <c r="D70" s="8" t="s">
        <v>383</v>
      </c>
      <c r="E70" s="8" t="s">
        <v>570</v>
      </c>
    </row>
    <row r="71" spans="1:5" ht="25" x14ac:dyDescent="0.35">
      <c r="A71" s="8" t="s">
        <v>560</v>
      </c>
      <c r="B71" s="8" t="s">
        <v>511</v>
      </c>
      <c r="C71" s="8" t="s">
        <v>571</v>
      </c>
      <c r="D71" s="8" t="s">
        <v>363</v>
      </c>
      <c r="E71" s="8" t="s">
        <v>572</v>
      </c>
    </row>
    <row r="72" spans="1:5" ht="25" x14ac:dyDescent="0.35">
      <c r="A72" s="8" t="s">
        <v>560</v>
      </c>
      <c r="B72" s="8" t="s">
        <v>573</v>
      </c>
      <c r="C72" s="8" t="s">
        <v>574</v>
      </c>
      <c r="D72" s="8" t="s">
        <v>517</v>
      </c>
      <c r="E72" s="8" t="s">
        <v>575</v>
      </c>
    </row>
    <row r="73" spans="1:5" ht="25" x14ac:dyDescent="0.35">
      <c r="A73" s="8" t="s">
        <v>560</v>
      </c>
      <c r="B73" s="8" t="s">
        <v>576</v>
      </c>
      <c r="C73" s="8" t="s">
        <v>577</v>
      </c>
      <c r="D73" s="8" t="s">
        <v>578</v>
      </c>
      <c r="E73" s="8" t="s">
        <v>579</v>
      </c>
    </row>
    <row r="74" spans="1:5" ht="25" x14ac:dyDescent="0.35">
      <c r="A74" s="8" t="s">
        <v>560</v>
      </c>
      <c r="B74" s="8" t="s">
        <v>311</v>
      </c>
      <c r="C74" s="8" t="s">
        <v>580</v>
      </c>
      <c r="D74" s="8" t="s">
        <v>363</v>
      </c>
      <c r="E74" s="8" t="s">
        <v>391</v>
      </c>
    </row>
    <row r="75" spans="1:5" ht="25" x14ac:dyDescent="0.35">
      <c r="A75" s="8" t="s">
        <v>560</v>
      </c>
      <c r="B75" s="8" t="s">
        <v>581</v>
      </c>
      <c r="C75" s="8" t="s">
        <v>582</v>
      </c>
      <c r="D75" s="8" t="s">
        <v>367</v>
      </c>
      <c r="E75" s="8" t="s">
        <v>583</v>
      </c>
    </row>
  </sheetData>
  <autoFilter ref="A1:E75"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7"/>
  <sheetViews>
    <sheetView showGridLines="0" workbookViewId="0">
      <pane ySplit="1" topLeftCell="A2" activePane="bottomLeft" state="frozen"/>
      <selection pane="bottomLeft"/>
    </sheetView>
  </sheetViews>
  <sheetFormatPr defaultRowHeight="14.5" x14ac:dyDescent="0.35"/>
  <cols>
    <col min="1" max="1" width="7" customWidth="1"/>
    <col min="2" max="3" width="24" customWidth="1"/>
    <col min="4" max="4" width="38" customWidth="1"/>
    <col min="5" max="5" width="44" customWidth="1"/>
    <col min="6" max="6" width="22" customWidth="1"/>
    <col min="7" max="7" width="20" customWidth="1"/>
  </cols>
  <sheetData>
    <row r="1" spans="1:7" x14ac:dyDescent="0.35">
      <c r="A1" s="7" t="s">
        <v>584</v>
      </c>
      <c r="B1" s="7" t="s">
        <v>585</v>
      </c>
      <c r="C1" s="7" t="s">
        <v>586</v>
      </c>
      <c r="D1" s="7" t="s">
        <v>587</v>
      </c>
      <c r="E1" s="7" t="s">
        <v>588</v>
      </c>
      <c r="F1" s="7" t="s">
        <v>589</v>
      </c>
      <c r="G1" s="7" t="s">
        <v>590</v>
      </c>
    </row>
    <row r="2" spans="1:7" x14ac:dyDescent="0.35">
      <c r="A2" s="8" t="s">
        <v>591</v>
      </c>
      <c r="B2" s="8" t="s">
        <v>592</v>
      </c>
      <c r="C2" s="8" t="s">
        <v>307</v>
      </c>
      <c r="D2" s="8" t="s">
        <v>593</v>
      </c>
      <c r="E2" s="8" t="s">
        <v>594</v>
      </c>
      <c r="F2" s="8" t="s">
        <v>305</v>
      </c>
      <c r="G2" s="8" t="s">
        <v>307</v>
      </c>
    </row>
    <row r="3" spans="1:7" x14ac:dyDescent="0.35">
      <c r="A3" s="8" t="s">
        <v>595</v>
      </c>
      <c r="B3" s="8" t="s">
        <v>592</v>
      </c>
      <c r="C3" s="8" t="s">
        <v>381</v>
      </c>
      <c r="D3" s="8" t="s">
        <v>596</v>
      </c>
      <c r="E3" s="8" t="s">
        <v>597</v>
      </c>
      <c r="F3" s="8" t="s">
        <v>305</v>
      </c>
      <c r="G3" s="8" t="s">
        <v>381</v>
      </c>
    </row>
    <row r="4" spans="1:7" ht="25" x14ac:dyDescent="0.35">
      <c r="A4" s="8" t="s">
        <v>598</v>
      </c>
      <c r="B4" s="8" t="s">
        <v>592</v>
      </c>
      <c r="C4" s="8" t="s">
        <v>369</v>
      </c>
      <c r="D4" s="8" t="s">
        <v>599</v>
      </c>
      <c r="E4" s="8" t="s">
        <v>600</v>
      </c>
      <c r="F4" s="8" t="s">
        <v>305</v>
      </c>
      <c r="G4" s="8" t="s">
        <v>373</v>
      </c>
    </row>
    <row r="5" spans="1:7" x14ac:dyDescent="0.35">
      <c r="A5" s="8" t="s">
        <v>601</v>
      </c>
      <c r="B5" s="8" t="s">
        <v>602</v>
      </c>
      <c r="C5" s="8" t="s">
        <v>396</v>
      </c>
      <c r="D5" s="8" t="s">
        <v>603</v>
      </c>
      <c r="E5" s="8" t="s">
        <v>604</v>
      </c>
      <c r="F5" s="8" t="s">
        <v>309</v>
      </c>
      <c r="G5" s="8" t="s">
        <v>396</v>
      </c>
    </row>
    <row r="6" spans="1:7" ht="25" x14ac:dyDescent="0.35">
      <c r="A6" s="8" t="s">
        <v>605</v>
      </c>
      <c r="B6" s="8" t="s">
        <v>602</v>
      </c>
      <c r="C6" s="8" t="s">
        <v>396</v>
      </c>
      <c r="D6" s="8" t="s">
        <v>606</v>
      </c>
      <c r="E6" s="8" t="s">
        <v>607</v>
      </c>
      <c r="F6" s="8" t="s">
        <v>309</v>
      </c>
      <c r="G6" s="8" t="s">
        <v>400</v>
      </c>
    </row>
    <row r="7" spans="1:7" x14ac:dyDescent="0.35">
      <c r="A7" s="8" t="s">
        <v>608</v>
      </c>
      <c r="B7" s="8" t="s">
        <v>602</v>
      </c>
      <c r="C7" s="8" t="s">
        <v>410</v>
      </c>
      <c r="D7" s="8" t="s">
        <v>609</v>
      </c>
      <c r="E7" s="8" t="s">
        <v>610</v>
      </c>
      <c r="F7" s="8" t="s">
        <v>309</v>
      </c>
      <c r="G7" s="8" t="s">
        <v>410</v>
      </c>
    </row>
    <row r="8" spans="1:7" x14ac:dyDescent="0.35">
      <c r="A8" s="8" t="s">
        <v>611</v>
      </c>
      <c r="B8" s="8" t="s">
        <v>602</v>
      </c>
      <c r="C8" s="8" t="s">
        <v>414</v>
      </c>
      <c r="D8" s="8" t="s">
        <v>612</v>
      </c>
      <c r="E8" s="8" t="s">
        <v>613</v>
      </c>
      <c r="F8" s="8" t="s">
        <v>309</v>
      </c>
      <c r="G8" s="8" t="s">
        <v>414</v>
      </c>
    </row>
    <row r="9" spans="1:7" x14ac:dyDescent="0.35">
      <c r="A9" s="8" t="s">
        <v>614</v>
      </c>
      <c r="B9" s="8" t="s">
        <v>602</v>
      </c>
      <c r="C9" s="8" t="s">
        <v>421</v>
      </c>
      <c r="D9" s="8" t="s">
        <v>615</v>
      </c>
      <c r="E9" s="8" t="s">
        <v>616</v>
      </c>
      <c r="F9" s="8" t="s">
        <v>309</v>
      </c>
      <c r="G9" s="8" t="s">
        <v>421</v>
      </c>
    </row>
    <row r="10" spans="1:7" ht="25" x14ac:dyDescent="0.35">
      <c r="A10" s="8" t="s">
        <v>617</v>
      </c>
      <c r="B10" s="8" t="s">
        <v>618</v>
      </c>
      <c r="C10" s="8" t="s">
        <v>432</v>
      </c>
      <c r="D10" s="8" t="s">
        <v>619</v>
      </c>
      <c r="E10" s="8" t="s">
        <v>620</v>
      </c>
      <c r="F10" s="8" t="s">
        <v>313</v>
      </c>
      <c r="G10" s="8" t="s">
        <v>432</v>
      </c>
    </row>
    <row r="11" spans="1:7" ht="25" x14ac:dyDescent="0.35">
      <c r="A11" s="8" t="s">
        <v>621</v>
      </c>
      <c r="B11" s="8" t="s">
        <v>622</v>
      </c>
      <c r="C11" s="8" t="s">
        <v>623</v>
      </c>
      <c r="D11" s="8" t="s">
        <v>606</v>
      </c>
      <c r="E11" s="8" t="s">
        <v>624</v>
      </c>
      <c r="F11" s="8" t="s">
        <v>313</v>
      </c>
      <c r="G11" s="8" t="s">
        <v>435</v>
      </c>
    </row>
    <row r="12" spans="1:7" ht="25" x14ac:dyDescent="0.35">
      <c r="A12" s="8" t="s">
        <v>625</v>
      </c>
      <c r="B12" s="8" t="s">
        <v>626</v>
      </c>
      <c r="C12" s="8" t="s">
        <v>627</v>
      </c>
      <c r="D12" s="8" t="s">
        <v>628</v>
      </c>
      <c r="E12" s="8" t="s">
        <v>629</v>
      </c>
      <c r="F12" s="8" t="s">
        <v>630</v>
      </c>
      <c r="G12" s="8" t="s">
        <v>631</v>
      </c>
    </row>
    <row r="13" spans="1:7" x14ac:dyDescent="0.35">
      <c r="A13" s="8" t="s">
        <v>632</v>
      </c>
      <c r="B13" s="8" t="s">
        <v>633</v>
      </c>
      <c r="C13" s="8" t="s">
        <v>472</v>
      </c>
      <c r="D13" s="8" t="s">
        <v>634</v>
      </c>
      <c r="E13" s="8" t="s">
        <v>635</v>
      </c>
      <c r="F13" s="8" t="s">
        <v>320</v>
      </c>
      <c r="G13" s="8" t="s">
        <v>472</v>
      </c>
    </row>
    <row r="14" spans="1:7" ht="25" x14ac:dyDescent="0.35">
      <c r="A14" s="8" t="s">
        <v>636</v>
      </c>
      <c r="B14" s="8" t="s">
        <v>633</v>
      </c>
      <c r="C14" s="8" t="s">
        <v>637</v>
      </c>
      <c r="D14" s="8" t="s">
        <v>638</v>
      </c>
      <c r="E14" s="8" t="s">
        <v>639</v>
      </c>
      <c r="F14" s="8" t="s">
        <v>320</v>
      </c>
      <c r="G14" s="8" t="s">
        <v>640</v>
      </c>
    </row>
    <row r="15" spans="1:7" ht="25" x14ac:dyDescent="0.35">
      <c r="A15" s="8" t="s">
        <v>641</v>
      </c>
      <c r="B15" s="8" t="s">
        <v>313</v>
      </c>
      <c r="C15" s="8" t="s">
        <v>642</v>
      </c>
      <c r="D15" s="8" t="s">
        <v>606</v>
      </c>
      <c r="E15" s="8" t="s">
        <v>643</v>
      </c>
      <c r="F15" s="8" t="s">
        <v>329</v>
      </c>
      <c r="G15" s="8" t="s">
        <v>546</v>
      </c>
    </row>
    <row r="16" spans="1:7" ht="37.5" x14ac:dyDescent="0.35">
      <c r="A16" s="8" t="s">
        <v>644</v>
      </c>
      <c r="B16" s="8" t="s">
        <v>645</v>
      </c>
      <c r="C16" s="8" t="s">
        <v>646</v>
      </c>
      <c r="D16" s="8" t="s">
        <v>647</v>
      </c>
      <c r="E16" s="8" t="s">
        <v>648</v>
      </c>
      <c r="F16" s="8" t="s">
        <v>649</v>
      </c>
      <c r="G16" s="8" t="s">
        <v>650</v>
      </c>
    </row>
    <row r="17" spans="1:7" ht="25" x14ac:dyDescent="0.35">
      <c r="A17" s="8" t="s">
        <v>651</v>
      </c>
      <c r="B17" s="8" t="s">
        <v>329</v>
      </c>
      <c r="C17" s="8" t="s">
        <v>552</v>
      </c>
      <c r="D17" s="8" t="s">
        <v>652</v>
      </c>
      <c r="E17" s="8" t="s">
        <v>653</v>
      </c>
      <c r="F17" s="8" t="s">
        <v>649</v>
      </c>
      <c r="G17" s="8" t="s">
        <v>654</v>
      </c>
    </row>
  </sheetData>
  <autoFilter ref="A1:G17"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9"/>
  <sheetViews>
    <sheetView showGridLines="0" workbookViewId="0">
      <pane ySplit="1" topLeftCell="A2" activePane="bottomLeft" state="frozen"/>
      <selection pane="bottomLeft"/>
    </sheetView>
  </sheetViews>
  <sheetFormatPr defaultRowHeight="14.5" x14ac:dyDescent="0.35"/>
  <cols>
    <col min="1" max="1" width="14" customWidth="1"/>
    <col min="2" max="2" width="18" customWidth="1"/>
    <col min="3" max="3" width="50" customWidth="1"/>
  </cols>
  <sheetData>
    <row r="1" spans="1:3" x14ac:dyDescent="0.35">
      <c r="A1" s="7" t="s">
        <v>655</v>
      </c>
      <c r="B1" s="7" t="s">
        <v>656</v>
      </c>
      <c r="C1" s="7" t="s">
        <v>657</v>
      </c>
    </row>
    <row r="2" spans="1:3" x14ac:dyDescent="0.35">
      <c r="A2" s="8" t="s">
        <v>658</v>
      </c>
      <c r="B2" s="8" t="s">
        <v>395</v>
      </c>
      <c r="C2" s="8" t="s">
        <v>399</v>
      </c>
    </row>
    <row r="3" spans="1:3" x14ac:dyDescent="0.35">
      <c r="A3" s="8" t="s">
        <v>658</v>
      </c>
      <c r="B3" s="8" t="s">
        <v>659</v>
      </c>
      <c r="C3" s="8" t="s">
        <v>660</v>
      </c>
    </row>
    <row r="4" spans="1:3" x14ac:dyDescent="0.35">
      <c r="A4" s="8" t="s">
        <v>658</v>
      </c>
      <c r="B4" s="8" t="s">
        <v>661</v>
      </c>
      <c r="C4" s="8" t="s">
        <v>474</v>
      </c>
    </row>
    <row r="5" spans="1:3" ht="25" x14ac:dyDescent="0.35">
      <c r="A5" s="8" t="s">
        <v>658</v>
      </c>
      <c r="B5" s="8" t="s">
        <v>662</v>
      </c>
      <c r="C5" s="8" t="s">
        <v>663</v>
      </c>
    </row>
    <row r="6" spans="1:3" x14ac:dyDescent="0.35">
      <c r="A6" s="8" t="s">
        <v>658</v>
      </c>
      <c r="B6" s="8" t="s">
        <v>664</v>
      </c>
      <c r="C6" s="8" t="s">
        <v>665</v>
      </c>
    </row>
    <row r="7" spans="1:3" x14ac:dyDescent="0.35">
      <c r="A7" s="8" t="s">
        <v>658</v>
      </c>
      <c r="B7" s="8" t="s">
        <v>666</v>
      </c>
      <c r="C7" s="8" t="s">
        <v>667</v>
      </c>
    </row>
    <row r="8" spans="1:3" ht="25" x14ac:dyDescent="0.35">
      <c r="A8" s="8" t="s">
        <v>668</v>
      </c>
      <c r="B8" s="8" t="s">
        <v>669</v>
      </c>
      <c r="C8" s="8" t="s">
        <v>670</v>
      </c>
    </row>
    <row r="9" spans="1:3" ht="25" x14ac:dyDescent="0.35">
      <c r="A9" s="8" t="s">
        <v>671</v>
      </c>
      <c r="B9" s="8" t="s">
        <v>672</v>
      </c>
      <c r="C9" s="8" t="s">
        <v>673</v>
      </c>
    </row>
  </sheetData>
  <autoFilter ref="A1:C9"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3"/>
  <sheetViews>
    <sheetView showGridLines="0" workbookViewId="0">
      <pane ySplit="1" topLeftCell="A2" activePane="bottomLeft" state="frozen"/>
      <selection pane="bottomLeft"/>
    </sheetView>
  </sheetViews>
  <sheetFormatPr defaultRowHeight="14.5" x14ac:dyDescent="0.35"/>
  <cols>
    <col min="1" max="1" width="7" customWidth="1"/>
    <col min="2" max="2" width="20" customWidth="1"/>
    <col min="3" max="3" width="26" customWidth="1"/>
    <col min="4" max="4" width="34" customWidth="1"/>
    <col min="5" max="5" width="42" customWidth="1"/>
    <col min="6" max="6" width="46" customWidth="1"/>
    <col min="7" max="8" width="14" customWidth="1"/>
  </cols>
  <sheetData>
    <row r="1" spans="1:8" ht="26" x14ac:dyDescent="0.35">
      <c r="A1" s="7" t="s">
        <v>584</v>
      </c>
      <c r="B1" s="7" t="s">
        <v>674</v>
      </c>
      <c r="C1" s="7" t="s">
        <v>675</v>
      </c>
      <c r="D1" s="7" t="s">
        <v>676</v>
      </c>
      <c r="E1" s="7" t="s">
        <v>677</v>
      </c>
      <c r="F1" s="7" t="s">
        <v>678</v>
      </c>
      <c r="G1" s="7" t="s">
        <v>679</v>
      </c>
      <c r="H1" s="7" t="s">
        <v>680</v>
      </c>
    </row>
    <row r="2" spans="1:8" ht="25" x14ac:dyDescent="0.35">
      <c r="A2" s="8" t="s">
        <v>681</v>
      </c>
      <c r="B2" s="8" t="s">
        <v>682</v>
      </c>
      <c r="C2" s="8" t="s">
        <v>683</v>
      </c>
      <c r="D2" s="8" t="s">
        <v>684</v>
      </c>
      <c r="E2" s="8" t="s">
        <v>685</v>
      </c>
      <c r="F2" s="8" t="s">
        <v>686</v>
      </c>
      <c r="G2" s="8"/>
      <c r="H2" s="8"/>
    </row>
    <row r="3" spans="1:8" ht="25" x14ac:dyDescent="0.35">
      <c r="A3" s="8" t="s">
        <v>687</v>
      </c>
      <c r="B3" s="8" t="s">
        <v>682</v>
      </c>
      <c r="C3" s="8" t="s">
        <v>688</v>
      </c>
      <c r="D3" s="8" t="s">
        <v>689</v>
      </c>
      <c r="E3" s="8" t="s">
        <v>690</v>
      </c>
      <c r="F3" s="8" t="s">
        <v>691</v>
      </c>
      <c r="G3" s="8"/>
      <c r="H3" s="8"/>
    </row>
    <row r="4" spans="1:8" x14ac:dyDescent="0.35">
      <c r="A4" s="8" t="s">
        <v>692</v>
      </c>
      <c r="B4" s="8" t="s">
        <v>693</v>
      </c>
      <c r="C4" s="8" t="s">
        <v>694</v>
      </c>
      <c r="D4" s="8" t="s">
        <v>695</v>
      </c>
      <c r="E4" s="8" t="s">
        <v>696</v>
      </c>
      <c r="F4" s="8" t="s">
        <v>697</v>
      </c>
      <c r="G4" s="8"/>
      <c r="H4" s="8"/>
    </row>
    <row r="5" spans="1:8" ht="25" x14ac:dyDescent="0.35">
      <c r="A5" s="8" t="s">
        <v>698</v>
      </c>
      <c r="B5" s="8" t="s">
        <v>699</v>
      </c>
      <c r="C5" s="8" t="s">
        <v>700</v>
      </c>
      <c r="D5" s="8" t="s">
        <v>701</v>
      </c>
      <c r="E5" s="8" t="s">
        <v>702</v>
      </c>
      <c r="F5" s="8" t="s">
        <v>703</v>
      </c>
      <c r="G5" s="8"/>
      <c r="H5" s="8"/>
    </row>
    <row r="6" spans="1:8" x14ac:dyDescent="0.35">
      <c r="A6" s="8" t="s">
        <v>704</v>
      </c>
      <c r="B6" s="8" t="s">
        <v>705</v>
      </c>
      <c r="C6" s="8" t="s">
        <v>706</v>
      </c>
      <c r="D6" s="8" t="s">
        <v>707</v>
      </c>
      <c r="E6" s="8" t="s">
        <v>708</v>
      </c>
      <c r="F6" s="8" t="s">
        <v>709</v>
      </c>
      <c r="G6" s="8"/>
      <c r="H6" s="8"/>
    </row>
    <row r="7" spans="1:8" ht="25" x14ac:dyDescent="0.35">
      <c r="A7" s="8" t="s">
        <v>710</v>
      </c>
      <c r="B7" s="8" t="s">
        <v>711</v>
      </c>
      <c r="C7" s="8" t="s">
        <v>712</v>
      </c>
      <c r="D7" s="8" t="s">
        <v>713</v>
      </c>
      <c r="E7" s="8" t="s">
        <v>714</v>
      </c>
      <c r="F7" s="8" t="s">
        <v>715</v>
      </c>
      <c r="G7" s="8"/>
      <c r="H7" s="8"/>
    </row>
    <row r="8" spans="1:8" ht="25" x14ac:dyDescent="0.35">
      <c r="A8" s="8" t="s">
        <v>716</v>
      </c>
      <c r="B8" s="8" t="s">
        <v>717</v>
      </c>
      <c r="C8" s="8" t="s">
        <v>718</v>
      </c>
      <c r="D8" s="8" t="s">
        <v>719</v>
      </c>
      <c r="E8" s="8" t="s">
        <v>720</v>
      </c>
      <c r="F8" s="8" t="s">
        <v>721</v>
      </c>
      <c r="G8" s="8"/>
      <c r="H8" s="8"/>
    </row>
    <row r="9" spans="1:8" ht="25" x14ac:dyDescent="0.35">
      <c r="A9" s="8" t="s">
        <v>722</v>
      </c>
      <c r="B9" s="8" t="s">
        <v>723</v>
      </c>
      <c r="C9" s="8" t="s">
        <v>724</v>
      </c>
      <c r="D9" s="8" t="s">
        <v>725</v>
      </c>
      <c r="E9" s="8" t="s">
        <v>726</v>
      </c>
      <c r="F9" s="8" t="s">
        <v>727</v>
      </c>
      <c r="G9" s="8"/>
      <c r="H9" s="8"/>
    </row>
    <row r="10" spans="1:8" ht="25" x14ac:dyDescent="0.35">
      <c r="A10" s="8" t="s">
        <v>728</v>
      </c>
      <c r="B10" s="8" t="s">
        <v>729</v>
      </c>
      <c r="C10" s="8" t="s">
        <v>730</v>
      </c>
      <c r="D10" s="8" t="s">
        <v>731</v>
      </c>
      <c r="E10" s="8" t="s">
        <v>732</v>
      </c>
      <c r="F10" s="8" t="s">
        <v>733</v>
      </c>
      <c r="G10" s="8"/>
      <c r="H10" s="8"/>
    </row>
    <row r="11" spans="1:8" ht="37.5" x14ac:dyDescent="0.35">
      <c r="A11" s="8" t="s">
        <v>734</v>
      </c>
      <c r="B11" s="8" t="s">
        <v>735</v>
      </c>
      <c r="C11" s="8" t="s">
        <v>736</v>
      </c>
      <c r="D11" s="8" t="s">
        <v>737</v>
      </c>
      <c r="E11" s="8" t="s">
        <v>738</v>
      </c>
      <c r="F11" s="8" t="s">
        <v>739</v>
      </c>
      <c r="G11" s="8"/>
      <c r="H11" s="8"/>
    </row>
    <row r="12" spans="1:8" ht="50" x14ac:dyDescent="0.35">
      <c r="A12" s="8" t="s">
        <v>740</v>
      </c>
      <c r="B12" s="8" t="s">
        <v>741</v>
      </c>
      <c r="C12" s="8" t="s">
        <v>742</v>
      </c>
      <c r="D12" s="8" t="s">
        <v>743</v>
      </c>
      <c r="E12" s="8" t="s">
        <v>744</v>
      </c>
      <c r="F12" s="8" t="s">
        <v>745</v>
      </c>
      <c r="G12" s="8"/>
      <c r="H12" s="8"/>
    </row>
    <row r="13" spans="1:8" ht="25" x14ac:dyDescent="0.35">
      <c r="A13" s="8" t="s">
        <v>746</v>
      </c>
      <c r="B13" s="8" t="s">
        <v>747</v>
      </c>
      <c r="C13" s="8" t="s">
        <v>748</v>
      </c>
      <c r="D13" s="8" t="s">
        <v>749</v>
      </c>
      <c r="E13" s="8" t="s">
        <v>750</v>
      </c>
      <c r="F13" s="8" t="s">
        <v>751</v>
      </c>
      <c r="G13" s="8"/>
      <c r="H13" s="8"/>
    </row>
  </sheetData>
  <autoFilter ref="A1:H13"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1"/>
  <sheetViews>
    <sheetView showGridLines="0" workbookViewId="0">
      <pane ySplit="1" topLeftCell="A2" activePane="bottomLeft" state="frozen"/>
      <selection pane="bottomLeft"/>
    </sheetView>
  </sheetViews>
  <sheetFormatPr defaultRowHeight="14.5" x14ac:dyDescent="0.35"/>
  <cols>
    <col min="1" max="1" width="22" customWidth="1"/>
    <col min="2" max="2" width="34" customWidth="1"/>
    <col min="3" max="3" width="70" customWidth="1"/>
  </cols>
  <sheetData>
    <row r="1" spans="1:3" x14ac:dyDescent="0.35">
      <c r="A1" s="7" t="s">
        <v>752</v>
      </c>
      <c r="B1" s="7" t="s">
        <v>753</v>
      </c>
      <c r="C1" s="7" t="s">
        <v>754</v>
      </c>
    </row>
    <row r="2" spans="1:3" x14ac:dyDescent="0.35">
      <c r="A2" s="8" t="s">
        <v>755</v>
      </c>
      <c r="B2" s="8" t="s">
        <v>756</v>
      </c>
      <c r="C2" s="8" t="s">
        <v>757</v>
      </c>
    </row>
    <row r="3" spans="1:3" x14ac:dyDescent="0.35">
      <c r="A3" s="8" t="s">
        <v>758</v>
      </c>
      <c r="B3" s="8" t="s">
        <v>759</v>
      </c>
      <c r="C3" s="8" t="s">
        <v>760</v>
      </c>
    </row>
    <row r="4" spans="1:3" x14ac:dyDescent="0.35">
      <c r="A4" s="8" t="s">
        <v>761</v>
      </c>
      <c r="B4" s="8" t="s">
        <v>762</v>
      </c>
      <c r="C4" s="8" t="s">
        <v>763</v>
      </c>
    </row>
    <row r="5" spans="1:3" x14ac:dyDescent="0.35">
      <c r="A5" s="8" t="s">
        <v>764</v>
      </c>
      <c r="B5" s="8" t="s">
        <v>765</v>
      </c>
      <c r="C5" s="8" t="s">
        <v>766</v>
      </c>
    </row>
    <row r="6" spans="1:3" x14ac:dyDescent="0.35">
      <c r="A6" s="8" t="s">
        <v>717</v>
      </c>
      <c r="B6" s="8" t="s">
        <v>767</v>
      </c>
      <c r="C6" s="8" t="s">
        <v>768</v>
      </c>
    </row>
    <row r="7" spans="1:3" x14ac:dyDescent="0.35">
      <c r="A7" s="8" t="s">
        <v>769</v>
      </c>
      <c r="B7" s="8" t="s">
        <v>770</v>
      </c>
      <c r="C7" s="8" t="s">
        <v>771</v>
      </c>
    </row>
    <row r="8" spans="1:3" ht="25" x14ac:dyDescent="0.35">
      <c r="A8" s="8" t="s">
        <v>772</v>
      </c>
      <c r="B8" s="8" t="s">
        <v>773</v>
      </c>
      <c r="C8" s="8" t="s">
        <v>774</v>
      </c>
    </row>
    <row r="9" spans="1:3" x14ac:dyDescent="0.35">
      <c r="A9" s="8" t="s">
        <v>775</v>
      </c>
      <c r="B9" s="8" t="s">
        <v>776</v>
      </c>
      <c r="C9" s="8" t="s">
        <v>777</v>
      </c>
    </row>
    <row r="10" spans="1:3" x14ac:dyDescent="0.35">
      <c r="A10" s="8" t="s">
        <v>778</v>
      </c>
      <c r="B10" s="8" t="s">
        <v>779</v>
      </c>
      <c r="C10" s="8" t="s">
        <v>780</v>
      </c>
    </row>
    <row r="11" spans="1:3" x14ac:dyDescent="0.35">
      <c r="A11" s="8" t="s">
        <v>246</v>
      </c>
      <c r="B11" s="8" t="s">
        <v>781</v>
      </c>
      <c r="C11" s="8" t="s">
        <v>782</v>
      </c>
    </row>
  </sheetData>
  <autoFilter ref="A1:C11"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6"/>
  <sheetViews>
    <sheetView showGridLines="0" workbookViewId="0">
      <pane ySplit="1" topLeftCell="A2" activePane="bottomLeft" state="frozen"/>
      <selection pane="bottomLeft"/>
    </sheetView>
  </sheetViews>
  <sheetFormatPr defaultRowHeight="14.5" x14ac:dyDescent="0.35"/>
  <cols>
    <col min="1" max="1" width="10" customWidth="1"/>
    <col min="2" max="2" width="20" customWidth="1"/>
    <col min="3" max="3" width="52" customWidth="1"/>
    <col min="4" max="4" width="10" customWidth="1"/>
    <col min="5" max="5" width="34" customWidth="1"/>
    <col min="6" max="6" width="10" customWidth="1"/>
    <col min="7" max="7" width="16" customWidth="1"/>
  </cols>
  <sheetData>
    <row r="1" spans="1:7" ht="26" x14ac:dyDescent="0.35">
      <c r="A1" s="7" t="s">
        <v>783</v>
      </c>
      <c r="B1" s="7" t="s">
        <v>752</v>
      </c>
      <c r="C1" s="7" t="s">
        <v>784</v>
      </c>
      <c r="D1" s="7" t="s">
        <v>785</v>
      </c>
      <c r="E1" s="7" t="s">
        <v>786</v>
      </c>
      <c r="F1" s="7" t="s">
        <v>787</v>
      </c>
      <c r="G1" s="7" t="s">
        <v>788</v>
      </c>
    </row>
    <row r="2" spans="1:7" x14ac:dyDescent="0.35">
      <c r="A2" s="8" t="s">
        <v>789</v>
      </c>
      <c r="B2" s="8" t="s">
        <v>755</v>
      </c>
      <c r="C2" s="8" t="s">
        <v>790</v>
      </c>
      <c r="D2" s="8" t="s">
        <v>791</v>
      </c>
      <c r="E2" s="8" t="s">
        <v>792</v>
      </c>
      <c r="F2" s="8" t="s">
        <v>681</v>
      </c>
      <c r="G2" s="8"/>
    </row>
    <row r="3" spans="1:7" x14ac:dyDescent="0.35">
      <c r="A3" s="8" t="s">
        <v>793</v>
      </c>
      <c r="B3" s="8" t="s">
        <v>755</v>
      </c>
      <c r="C3" s="8" t="s">
        <v>794</v>
      </c>
      <c r="D3" s="8" t="s">
        <v>791</v>
      </c>
      <c r="E3" s="8" t="s">
        <v>795</v>
      </c>
      <c r="F3" s="8" t="s">
        <v>687</v>
      </c>
      <c r="G3" s="8"/>
    </row>
    <row r="4" spans="1:7" x14ac:dyDescent="0.35">
      <c r="A4" s="8" t="s">
        <v>796</v>
      </c>
      <c r="B4" s="8" t="s">
        <v>755</v>
      </c>
      <c r="C4" s="8" t="s">
        <v>797</v>
      </c>
      <c r="D4" s="8" t="s">
        <v>798</v>
      </c>
      <c r="E4" s="8" t="s">
        <v>799</v>
      </c>
      <c r="F4" s="8" t="s">
        <v>692</v>
      </c>
      <c r="G4" s="8"/>
    </row>
    <row r="5" spans="1:7" x14ac:dyDescent="0.35">
      <c r="A5" s="8" t="s">
        <v>800</v>
      </c>
      <c r="B5" s="8" t="s">
        <v>755</v>
      </c>
      <c r="C5" s="8" t="s">
        <v>801</v>
      </c>
      <c r="D5" s="8" t="s">
        <v>791</v>
      </c>
      <c r="E5" s="8" t="s">
        <v>802</v>
      </c>
      <c r="F5" s="8" t="s">
        <v>704</v>
      </c>
      <c r="G5" s="8"/>
    </row>
    <row r="6" spans="1:7" x14ac:dyDescent="0.35">
      <c r="A6" s="8" t="s">
        <v>803</v>
      </c>
      <c r="B6" s="8" t="s">
        <v>761</v>
      </c>
      <c r="C6" s="8" t="s">
        <v>804</v>
      </c>
      <c r="D6" s="8" t="s">
        <v>791</v>
      </c>
      <c r="E6" s="8" t="s">
        <v>441</v>
      </c>
      <c r="F6" s="8" t="s">
        <v>308</v>
      </c>
      <c r="G6" s="8"/>
    </row>
    <row r="7" spans="1:7" x14ac:dyDescent="0.35">
      <c r="A7" s="8" t="s">
        <v>805</v>
      </c>
      <c r="B7" s="8" t="s">
        <v>761</v>
      </c>
      <c r="C7" s="8" t="s">
        <v>806</v>
      </c>
      <c r="D7" s="8" t="s">
        <v>791</v>
      </c>
      <c r="E7" s="8" t="s">
        <v>807</v>
      </c>
      <c r="F7" s="8" t="s">
        <v>722</v>
      </c>
      <c r="G7" s="8"/>
    </row>
    <row r="8" spans="1:7" x14ac:dyDescent="0.35">
      <c r="A8" s="8" t="s">
        <v>808</v>
      </c>
      <c r="B8" s="8" t="s">
        <v>761</v>
      </c>
      <c r="C8" s="8" t="s">
        <v>809</v>
      </c>
      <c r="D8" s="8" t="s">
        <v>791</v>
      </c>
      <c r="E8" s="8" t="s">
        <v>441</v>
      </c>
      <c r="F8" s="8" t="s">
        <v>308</v>
      </c>
      <c r="G8" s="8"/>
    </row>
    <row r="9" spans="1:7" x14ac:dyDescent="0.35">
      <c r="A9" s="8" t="s">
        <v>810</v>
      </c>
      <c r="B9" s="8" t="s">
        <v>764</v>
      </c>
      <c r="C9" s="8" t="s">
        <v>811</v>
      </c>
      <c r="D9" s="8" t="s">
        <v>791</v>
      </c>
      <c r="E9" s="8" t="s">
        <v>812</v>
      </c>
      <c r="F9" s="8" t="s">
        <v>698</v>
      </c>
      <c r="G9" s="8"/>
    </row>
    <row r="10" spans="1:7" x14ac:dyDescent="0.35">
      <c r="A10" s="8" t="s">
        <v>813</v>
      </c>
      <c r="B10" s="8" t="s">
        <v>764</v>
      </c>
      <c r="C10" s="8" t="s">
        <v>814</v>
      </c>
      <c r="D10" s="8" t="s">
        <v>798</v>
      </c>
      <c r="E10" s="8" t="s">
        <v>815</v>
      </c>
      <c r="F10" s="8" t="s">
        <v>740</v>
      </c>
      <c r="G10" s="8"/>
    </row>
    <row r="11" spans="1:7" x14ac:dyDescent="0.35">
      <c r="A11" s="8" t="s">
        <v>816</v>
      </c>
      <c r="B11" s="8" t="s">
        <v>758</v>
      </c>
      <c r="C11" s="8" t="s">
        <v>817</v>
      </c>
      <c r="D11" s="8" t="s">
        <v>791</v>
      </c>
      <c r="E11" s="8" t="s">
        <v>818</v>
      </c>
      <c r="F11" s="8" t="s">
        <v>734</v>
      </c>
      <c r="G11" s="8"/>
    </row>
    <row r="12" spans="1:7" x14ac:dyDescent="0.35">
      <c r="A12" s="8" t="s">
        <v>819</v>
      </c>
      <c r="B12" s="8" t="s">
        <v>758</v>
      </c>
      <c r="C12" s="8" t="s">
        <v>820</v>
      </c>
      <c r="D12" s="8" t="s">
        <v>791</v>
      </c>
      <c r="E12" s="8" t="s">
        <v>821</v>
      </c>
      <c r="F12" s="8" t="s">
        <v>734</v>
      </c>
      <c r="G12" s="8"/>
    </row>
    <row r="13" spans="1:7" ht="25" x14ac:dyDescent="0.35">
      <c r="A13" s="8" t="s">
        <v>822</v>
      </c>
      <c r="B13" s="8" t="s">
        <v>758</v>
      </c>
      <c r="C13" s="8" t="s">
        <v>823</v>
      </c>
      <c r="D13" s="8" t="s">
        <v>791</v>
      </c>
      <c r="E13" s="8" t="s">
        <v>824</v>
      </c>
      <c r="F13" s="8" t="s">
        <v>728</v>
      </c>
      <c r="G13" s="8"/>
    </row>
    <row r="14" spans="1:7" x14ac:dyDescent="0.35">
      <c r="A14" s="8" t="s">
        <v>825</v>
      </c>
      <c r="B14" s="8" t="s">
        <v>717</v>
      </c>
      <c r="C14" s="8" t="s">
        <v>826</v>
      </c>
      <c r="D14" s="8" t="s">
        <v>791</v>
      </c>
      <c r="E14" s="8" t="s">
        <v>827</v>
      </c>
      <c r="F14" s="8" t="s">
        <v>710</v>
      </c>
      <c r="G14" s="8"/>
    </row>
    <row r="15" spans="1:7" x14ac:dyDescent="0.35">
      <c r="A15" s="8" t="s">
        <v>828</v>
      </c>
      <c r="B15" s="8" t="s">
        <v>717</v>
      </c>
      <c r="C15" s="8" t="s">
        <v>829</v>
      </c>
      <c r="D15" s="8" t="s">
        <v>791</v>
      </c>
      <c r="E15" s="8" t="s">
        <v>830</v>
      </c>
      <c r="F15" s="8" t="s">
        <v>716</v>
      </c>
      <c r="G15" s="8"/>
    </row>
    <row r="16" spans="1:7" x14ac:dyDescent="0.35">
      <c r="A16" s="8" t="s">
        <v>831</v>
      </c>
      <c r="B16" s="8" t="s">
        <v>769</v>
      </c>
      <c r="C16" s="8" t="s">
        <v>832</v>
      </c>
      <c r="D16" s="8" t="s">
        <v>798</v>
      </c>
      <c r="E16" s="8" t="s">
        <v>833</v>
      </c>
      <c r="F16" s="8" t="s">
        <v>746</v>
      </c>
      <c r="G16" s="8"/>
    </row>
  </sheetData>
  <autoFilter ref="A1:G16"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7"/>
  <sheetViews>
    <sheetView showGridLines="0" workbookViewId="0">
      <pane ySplit="1" topLeftCell="A2" activePane="bottomLeft" state="frozen"/>
      <selection pane="bottomLeft"/>
    </sheetView>
  </sheetViews>
  <sheetFormatPr defaultRowHeight="14.5" x14ac:dyDescent="0.35"/>
  <cols>
    <col min="1" max="1" width="20" customWidth="1"/>
    <col min="2" max="2" width="30" customWidth="1"/>
    <col min="3" max="3" width="26" customWidth="1"/>
    <col min="4" max="4" width="52" customWidth="1"/>
  </cols>
  <sheetData>
    <row r="1" spans="1:4" x14ac:dyDescent="0.35">
      <c r="A1" s="7" t="s">
        <v>834</v>
      </c>
      <c r="B1" s="7" t="s">
        <v>835</v>
      </c>
      <c r="C1" s="7" t="s">
        <v>836</v>
      </c>
      <c r="D1" s="7" t="s">
        <v>837</v>
      </c>
    </row>
    <row r="2" spans="1:4" ht="25" x14ac:dyDescent="0.35">
      <c r="A2" s="8" t="s">
        <v>838</v>
      </c>
      <c r="B2" s="8" t="s">
        <v>839</v>
      </c>
      <c r="C2" s="8" t="s">
        <v>840</v>
      </c>
      <c r="D2" s="8" t="s">
        <v>841</v>
      </c>
    </row>
    <row r="3" spans="1:4" ht="25" x14ac:dyDescent="0.35">
      <c r="A3" s="8" t="s">
        <v>842</v>
      </c>
      <c r="B3" s="8" t="s">
        <v>843</v>
      </c>
      <c r="C3" s="8" t="s">
        <v>844</v>
      </c>
      <c r="D3" s="8" t="s">
        <v>845</v>
      </c>
    </row>
    <row r="4" spans="1:4" ht="25" x14ac:dyDescent="0.35">
      <c r="A4" s="8" t="s">
        <v>846</v>
      </c>
      <c r="B4" s="8" t="s">
        <v>847</v>
      </c>
      <c r="C4" s="8" t="s">
        <v>848</v>
      </c>
      <c r="D4" s="8" t="s">
        <v>849</v>
      </c>
    </row>
    <row r="5" spans="1:4" ht="25" x14ac:dyDescent="0.35">
      <c r="A5" s="8" t="s">
        <v>850</v>
      </c>
      <c r="B5" s="8" t="s">
        <v>851</v>
      </c>
      <c r="C5" s="8" t="s">
        <v>852</v>
      </c>
      <c r="D5" s="8" t="s">
        <v>853</v>
      </c>
    </row>
    <row r="6" spans="1:4" ht="25" x14ac:dyDescent="0.35">
      <c r="A6" s="8" t="s">
        <v>854</v>
      </c>
      <c r="B6" s="8" t="s">
        <v>855</v>
      </c>
      <c r="C6" s="8" t="s">
        <v>856</v>
      </c>
      <c r="D6" s="8" t="s">
        <v>857</v>
      </c>
    </row>
    <row r="7" spans="1:4" x14ac:dyDescent="0.35">
      <c r="A7" s="8" t="s">
        <v>858</v>
      </c>
      <c r="B7" s="8" t="s">
        <v>859</v>
      </c>
      <c r="C7" s="8" t="s">
        <v>840</v>
      </c>
      <c r="D7" s="8" t="s">
        <v>857</v>
      </c>
    </row>
  </sheetData>
  <autoFilter ref="A1:D7"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9"/>
  <sheetViews>
    <sheetView showGridLines="0" workbookViewId="0">
      <pane ySplit="1" topLeftCell="A2" activePane="bottomLeft" state="frozen"/>
      <selection pane="bottomLeft"/>
    </sheetView>
  </sheetViews>
  <sheetFormatPr defaultRowHeight="14.5" x14ac:dyDescent="0.35"/>
  <cols>
    <col min="1" max="1" width="8" customWidth="1"/>
    <col min="2" max="2" width="52" customWidth="1"/>
    <col min="3" max="3" width="40" customWidth="1"/>
    <col min="4" max="4" width="22" customWidth="1"/>
    <col min="5" max="5" width="40" customWidth="1"/>
  </cols>
  <sheetData>
    <row r="1" spans="1:5" x14ac:dyDescent="0.35">
      <c r="A1" s="7" t="s">
        <v>66</v>
      </c>
      <c r="B1" s="7" t="s">
        <v>860</v>
      </c>
      <c r="C1" s="7" t="s">
        <v>861</v>
      </c>
      <c r="D1" s="7" t="s">
        <v>862</v>
      </c>
      <c r="E1" s="7" t="s">
        <v>863</v>
      </c>
    </row>
    <row r="2" spans="1:5" x14ac:dyDescent="0.35">
      <c r="A2" s="8" t="s">
        <v>864</v>
      </c>
      <c r="B2" s="8" t="s">
        <v>865</v>
      </c>
      <c r="C2" s="8" t="s">
        <v>866</v>
      </c>
      <c r="D2" s="8" t="s">
        <v>867</v>
      </c>
      <c r="E2" s="8" t="s">
        <v>868</v>
      </c>
    </row>
    <row r="3" spans="1:5" x14ac:dyDescent="0.35">
      <c r="A3" s="8" t="s">
        <v>869</v>
      </c>
      <c r="B3" s="8" t="s">
        <v>870</v>
      </c>
      <c r="C3" s="8" t="s">
        <v>871</v>
      </c>
      <c r="D3" s="8" t="s">
        <v>872</v>
      </c>
      <c r="E3" s="8" t="s">
        <v>868</v>
      </c>
    </row>
    <row r="4" spans="1:5" x14ac:dyDescent="0.35">
      <c r="A4" s="8" t="s">
        <v>873</v>
      </c>
      <c r="B4" s="8" t="s">
        <v>874</v>
      </c>
      <c r="C4" s="8" t="s">
        <v>875</v>
      </c>
      <c r="D4" s="8" t="s">
        <v>876</v>
      </c>
      <c r="E4" s="8" t="s">
        <v>877</v>
      </c>
    </row>
    <row r="5" spans="1:5" x14ac:dyDescent="0.35">
      <c r="A5" s="8" t="s">
        <v>878</v>
      </c>
      <c r="B5" s="8" t="s">
        <v>879</v>
      </c>
      <c r="C5" s="8" t="s">
        <v>880</v>
      </c>
      <c r="D5" s="8" t="s">
        <v>876</v>
      </c>
      <c r="E5" s="8" t="s">
        <v>877</v>
      </c>
    </row>
    <row r="6" spans="1:5" ht="25" x14ac:dyDescent="0.35">
      <c r="A6" s="8" t="s">
        <v>881</v>
      </c>
      <c r="B6" s="8" t="s">
        <v>882</v>
      </c>
      <c r="C6" s="8" t="s">
        <v>883</v>
      </c>
      <c r="D6" s="8" t="s">
        <v>884</v>
      </c>
      <c r="E6" s="8" t="s">
        <v>885</v>
      </c>
    </row>
    <row r="7" spans="1:5" x14ac:dyDescent="0.35">
      <c r="A7" s="8" t="s">
        <v>886</v>
      </c>
      <c r="B7" s="8" t="s">
        <v>887</v>
      </c>
      <c r="C7" s="8" t="s">
        <v>888</v>
      </c>
      <c r="D7" s="8" t="s">
        <v>884</v>
      </c>
      <c r="E7" s="8" t="s">
        <v>868</v>
      </c>
    </row>
    <row r="8" spans="1:5" x14ac:dyDescent="0.35">
      <c r="A8" s="8" t="s">
        <v>889</v>
      </c>
      <c r="B8" s="8" t="s">
        <v>890</v>
      </c>
      <c r="C8" s="8" t="s">
        <v>891</v>
      </c>
      <c r="D8" s="8" t="s">
        <v>892</v>
      </c>
      <c r="E8" s="8" t="s">
        <v>893</v>
      </c>
    </row>
    <row r="9" spans="1:5" x14ac:dyDescent="0.35">
      <c r="A9" s="8" t="s">
        <v>894</v>
      </c>
      <c r="B9" s="8" t="s">
        <v>895</v>
      </c>
      <c r="C9" s="8" t="s">
        <v>896</v>
      </c>
      <c r="D9" s="8" t="s">
        <v>892</v>
      </c>
      <c r="E9" s="8" t="s">
        <v>897</v>
      </c>
    </row>
  </sheetData>
  <autoFilter ref="A1:E9"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9"/>
  <sheetViews>
    <sheetView showGridLines="0" workbookViewId="0">
      <pane ySplit="1" topLeftCell="A2" activePane="bottomLeft" state="frozen"/>
      <selection pane="bottomLeft"/>
    </sheetView>
  </sheetViews>
  <sheetFormatPr defaultRowHeight="14.5" x14ac:dyDescent="0.35"/>
  <cols>
    <col min="1" max="1" width="44" customWidth="1"/>
    <col min="2" max="2" width="8" customWidth="1"/>
    <col min="3" max="3" width="18" customWidth="1"/>
    <col min="4" max="4" width="34" customWidth="1"/>
  </cols>
  <sheetData>
    <row r="1" spans="1:4" x14ac:dyDescent="0.35">
      <c r="A1" s="7" t="s">
        <v>898</v>
      </c>
      <c r="B1" s="7" t="s">
        <v>899</v>
      </c>
      <c r="C1" s="7" t="s">
        <v>900</v>
      </c>
      <c r="D1" s="7" t="s">
        <v>901</v>
      </c>
    </row>
    <row r="2" spans="1:4" x14ac:dyDescent="0.35">
      <c r="A2" s="8" t="s">
        <v>902</v>
      </c>
      <c r="B2" s="8" t="s">
        <v>903</v>
      </c>
      <c r="C2" s="8" t="s">
        <v>904</v>
      </c>
      <c r="D2" s="8" t="s">
        <v>905</v>
      </c>
    </row>
    <row r="3" spans="1:4" x14ac:dyDescent="0.35">
      <c r="A3" s="8" t="s">
        <v>906</v>
      </c>
      <c r="B3" s="8" t="s">
        <v>907</v>
      </c>
      <c r="C3" s="8" t="s">
        <v>908</v>
      </c>
      <c r="D3" s="8" t="s">
        <v>698</v>
      </c>
    </row>
    <row r="4" spans="1:4" x14ac:dyDescent="0.35">
      <c r="A4" s="8" t="s">
        <v>909</v>
      </c>
      <c r="B4" s="8" t="s">
        <v>907</v>
      </c>
      <c r="C4" s="8" t="s">
        <v>910</v>
      </c>
      <c r="D4" s="8" t="s">
        <v>911</v>
      </c>
    </row>
    <row r="5" spans="1:4" x14ac:dyDescent="0.35">
      <c r="A5" s="8" t="s">
        <v>912</v>
      </c>
      <c r="B5" s="8" t="s">
        <v>441</v>
      </c>
      <c r="C5" s="8" t="s">
        <v>913</v>
      </c>
      <c r="D5" s="8" t="s">
        <v>734</v>
      </c>
    </row>
    <row r="6" spans="1:4" x14ac:dyDescent="0.35">
      <c r="A6" s="8" t="s">
        <v>914</v>
      </c>
      <c r="B6" s="8" t="s">
        <v>915</v>
      </c>
      <c r="C6" s="8" t="s">
        <v>916</v>
      </c>
      <c r="D6" s="8" t="s">
        <v>704</v>
      </c>
    </row>
    <row r="7" spans="1:4" x14ac:dyDescent="0.35">
      <c r="A7" s="8" t="s">
        <v>917</v>
      </c>
      <c r="B7" s="8" t="s">
        <v>918</v>
      </c>
      <c r="C7" s="8" t="s">
        <v>919</v>
      </c>
      <c r="D7" s="8" t="s">
        <v>920</v>
      </c>
    </row>
    <row r="8" spans="1:4" x14ac:dyDescent="0.35">
      <c r="A8" s="8" t="s">
        <v>921</v>
      </c>
      <c r="B8" s="8" t="s">
        <v>915</v>
      </c>
      <c r="C8" s="8" t="s">
        <v>922</v>
      </c>
      <c r="D8" s="8" t="s">
        <v>923</v>
      </c>
    </row>
    <row r="9" spans="1:4" x14ac:dyDescent="0.35">
      <c r="A9" s="8" t="s">
        <v>924</v>
      </c>
      <c r="B9" s="8" t="s">
        <v>308</v>
      </c>
      <c r="C9" s="8" t="s">
        <v>925</v>
      </c>
      <c r="D9" s="8" t="s">
        <v>926</v>
      </c>
    </row>
  </sheetData>
  <autoFilter ref="A1:D9"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3"/>
  <sheetViews>
    <sheetView showGridLines="0" workbookViewId="0">
      <pane ySplit="1" topLeftCell="A2" activePane="bottomLeft" state="frozen"/>
      <selection pane="bottomLeft"/>
    </sheetView>
  </sheetViews>
  <sheetFormatPr defaultRowHeight="14.5" x14ac:dyDescent="0.35"/>
  <cols>
    <col min="1" max="1" width="10" customWidth="1"/>
    <col min="2" max="2" width="60" customWidth="1"/>
    <col min="3" max="4" width="12" customWidth="1"/>
    <col min="5" max="5" width="20" customWidth="1"/>
    <col min="6" max="6" width="40" customWidth="1"/>
  </cols>
  <sheetData>
    <row r="1" spans="1:6" x14ac:dyDescent="0.35">
      <c r="A1" s="7" t="s">
        <v>927</v>
      </c>
      <c r="B1" s="7" t="s">
        <v>358</v>
      </c>
      <c r="C1" s="7" t="s">
        <v>928</v>
      </c>
      <c r="D1" s="7" t="s">
        <v>898</v>
      </c>
      <c r="E1" s="7" t="s">
        <v>929</v>
      </c>
      <c r="F1" s="7" t="s">
        <v>930</v>
      </c>
    </row>
    <row r="2" spans="1:6" x14ac:dyDescent="0.35">
      <c r="A2" s="8" t="s">
        <v>931</v>
      </c>
      <c r="B2" s="8" t="s">
        <v>932</v>
      </c>
      <c r="C2" s="8" t="s">
        <v>933</v>
      </c>
      <c r="D2" s="8" t="s">
        <v>934</v>
      </c>
      <c r="E2" s="8" t="s">
        <v>935</v>
      </c>
      <c r="F2" s="8" t="s">
        <v>936</v>
      </c>
    </row>
    <row r="3" spans="1:6" ht="25" x14ac:dyDescent="0.35">
      <c r="A3" s="8" t="s">
        <v>937</v>
      </c>
      <c r="B3" s="8" t="s">
        <v>938</v>
      </c>
      <c r="C3" s="8" t="s">
        <v>933</v>
      </c>
      <c r="D3" s="8" t="s">
        <v>939</v>
      </c>
      <c r="E3" s="8" t="s">
        <v>940</v>
      </c>
      <c r="F3" s="8" t="s">
        <v>941</v>
      </c>
    </row>
    <row r="4" spans="1:6" x14ac:dyDescent="0.35">
      <c r="A4" s="8" t="s">
        <v>942</v>
      </c>
      <c r="B4" s="8" t="s">
        <v>943</v>
      </c>
      <c r="C4" s="8" t="s">
        <v>944</v>
      </c>
      <c r="D4" s="8" t="s">
        <v>945</v>
      </c>
      <c r="E4" s="8" t="s">
        <v>844</v>
      </c>
      <c r="F4" s="8" t="s">
        <v>946</v>
      </c>
    </row>
    <row r="5" spans="1:6" x14ac:dyDescent="0.35">
      <c r="A5" s="8" t="s">
        <v>947</v>
      </c>
      <c r="B5" s="8" t="s">
        <v>948</v>
      </c>
      <c r="C5" s="8" t="s">
        <v>933</v>
      </c>
      <c r="D5" s="8" t="s">
        <v>949</v>
      </c>
      <c r="E5" s="8" t="s">
        <v>840</v>
      </c>
      <c r="F5" s="8" t="s">
        <v>950</v>
      </c>
    </row>
    <row r="6" spans="1:6" x14ac:dyDescent="0.35">
      <c r="A6" s="8" t="s">
        <v>951</v>
      </c>
      <c r="B6" s="8" t="s">
        <v>952</v>
      </c>
      <c r="C6" s="8" t="s">
        <v>933</v>
      </c>
      <c r="D6" s="8" t="s">
        <v>945</v>
      </c>
      <c r="E6" s="8" t="s">
        <v>953</v>
      </c>
      <c r="F6" s="8" t="s">
        <v>954</v>
      </c>
    </row>
    <row r="7" spans="1:6" x14ac:dyDescent="0.35">
      <c r="A7" s="8" t="s">
        <v>955</v>
      </c>
      <c r="B7" s="8" t="s">
        <v>956</v>
      </c>
      <c r="C7" s="8" t="s">
        <v>933</v>
      </c>
      <c r="D7" s="8" t="s">
        <v>267</v>
      </c>
      <c r="E7" s="8" t="s">
        <v>957</v>
      </c>
      <c r="F7" s="8" t="s">
        <v>958</v>
      </c>
    </row>
    <row r="8" spans="1:6" x14ac:dyDescent="0.35">
      <c r="A8" s="8" t="s">
        <v>959</v>
      </c>
      <c r="B8" s="8" t="s">
        <v>960</v>
      </c>
      <c r="C8" s="8" t="s">
        <v>944</v>
      </c>
      <c r="D8" s="8" t="s">
        <v>961</v>
      </c>
      <c r="E8" s="8" t="s">
        <v>962</v>
      </c>
      <c r="F8" s="8" t="s">
        <v>963</v>
      </c>
    </row>
    <row r="9" spans="1:6" x14ac:dyDescent="0.35">
      <c r="A9" s="8" t="s">
        <v>964</v>
      </c>
      <c r="B9" s="8" t="s">
        <v>965</v>
      </c>
      <c r="C9" s="8" t="s">
        <v>944</v>
      </c>
      <c r="D9" s="8" t="s">
        <v>966</v>
      </c>
      <c r="E9" s="8" t="s">
        <v>844</v>
      </c>
      <c r="F9" s="8" t="s">
        <v>967</v>
      </c>
    </row>
    <row r="10" spans="1:6" x14ac:dyDescent="0.35">
      <c r="A10" s="8" t="s">
        <v>968</v>
      </c>
      <c r="B10" s="8" t="s">
        <v>969</v>
      </c>
      <c r="C10" s="8" t="s">
        <v>933</v>
      </c>
      <c r="D10" s="8" t="s">
        <v>970</v>
      </c>
      <c r="E10" s="8" t="s">
        <v>840</v>
      </c>
      <c r="F10" s="8" t="s">
        <v>971</v>
      </c>
    </row>
    <row r="11" spans="1:6" x14ac:dyDescent="0.35">
      <c r="A11" s="8" t="s">
        <v>972</v>
      </c>
      <c r="B11" s="8" t="s">
        <v>973</v>
      </c>
      <c r="C11" s="8" t="s">
        <v>933</v>
      </c>
      <c r="D11" s="8" t="s">
        <v>292</v>
      </c>
      <c r="E11" s="8" t="s">
        <v>974</v>
      </c>
      <c r="F11" s="8" t="s">
        <v>975</v>
      </c>
    </row>
    <row r="12" spans="1:6" x14ac:dyDescent="0.35">
      <c r="A12" s="8" t="s">
        <v>976</v>
      </c>
      <c r="B12" s="8" t="s">
        <v>977</v>
      </c>
      <c r="C12" s="8" t="s">
        <v>933</v>
      </c>
      <c r="D12" s="8" t="s">
        <v>292</v>
      </c>
      <c r="E12" s="8" t="s">
        <v>840</v>
      </c>
      <c r="F12" s="8" t="s">
        <v>978</v>
      </c>
    </row>
    <row r="13" spans="1:6" x14ac:dyDescent="0.35">
      <c r="A13" s="8" t="s">
        <v>979</v>
      </c>
      <c r="B13" s="8" t="s">
        <v>980</v>
      </c>
      <c r="C13" s="8" t="s">
        <v>933</v>
      </c>
      <c r="D13" s="8" t="s">
        <v>981</v>
      </c>
      <c r="E13" s="8" t="s">
        <v>935</v>
      </c>
      <c r="F13" s="8" t="s">
        <v>982</v>
      </c>
    </row>
  </sheetData>
  <autoFilter ref="A1:F13"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9"/>
  <sheetViews>
    <sheetView showGridLines="0" workbookViewId="0">
      <pane ySplit="1" topLeftCell="A2" activePane="bottomLeft" state="frozen"/>
      <selection pane="bottomLeft"/>
    </sheetView>
  </sheetViews>
  <sheetFormatPr defaultRowHeight="14.5" x14ac:dyDescent="0.35"/>
  <cols>
    <col min="1" max="1" width="42" customWidth="1"/>
    <col min="2" max="4" width="20" customWidth="1"/>
    <col min="5" max="5" width="26" customWidth="1"/>
  </cols>
  <sheetData>
    <row r="1" spans="1:5" ht="26" x14ac:dyDescent="0.35">
      <c r="A1" s="7" t="s">
        <v>983</v>
      </c>
      <c r="B1" s="7" t="s">
        <v>984</v>
      </c>
      <c r="C1" s="7" t="s">
        <v>985</v>
      </c>
      <c r="D1" s="7" t="s">
        <v>986</v>
      </c>
      <c r="E1" s="7" t="s">
        <v>987</v>
      </c>
    </row>
    <row r="2" spans="1:5" x14ac:dyDescent="0.35">
      <c r="A2" s="8" t="s">
        <v>988</v>
      </c>
      <c r="B2" s="8" t="s">
        <v>989</v>
      </c>
      <c r="C2" s="8" t="s">
        <v>990</v>
      </c>
      <c r="D2" s="8" t="s">
        <v>991</v>
      </c>
      <c r="E2" s="8" t="s">
        <v>992</v>
      </c>
    </row>
    <row r="3" spans="1:5" x14ac:dyDescent="0.35">
      <c r="A3" s="8" t="s">
        <v>993</v>
      </c>
      <c r="B3" s="8" t="s">
        <v>994</v>
      </c>
      <c r="C3" s="8" t="s">
        <v>995</v>
      </c>
      <c r="D3" s="8" t="s">
        <v>996</v>
      </c>
      <c r="E3" s="8" t="s">
        <v>992</v>
      </c>
    </row>
    <row r="4" spans="1:5" x14ac:dyDescent="0.35">
      <c r="A4" s="8" t="s">
        <v>997</v>
      </c>
      <c r="B4" s="8" t="s">
        <v>998</v>
      </c>
      <c r="C4" s="8" t="s">
        <v>999</v>
      </c>
      <c r="D4" s="8" t="s">
        <v>1000</v>
      </c>
      <c r="E4" s="8" t="s">
        <v>1001</v>
      </c>
    </row>
    <row r="5" spans="1:5" x14ac:dyDescent="0.35">
      <c r="A5" s="8" t="s">
        <v>1002</v>
      </c>
      <c r="B5" s="8" t="s">
        <v>1003</v>
      </c>
      <c r="C5" s="8" t="s">
        <v>1004</v>
      </c>
      <c r="D5" s="8" t="s">
        <v>1005</v>
      </c>
      <c r="E5" s="8" t="s">
        <v>992</v>
      </c>
    </row>
    <row r="6" spans="1:5" x14ac:dyDescent="0.35">
      <c r="A6" s="8" t="s">
        <v>1006</v>
      </c>
      <c r="B6" s="8" t="s">
        <v>1007</v>
      </c>
      <c r="C6" s="8" t="s">
        <v>1008</v>
      </c>
      <c r="D6" s="8" t="s">
        <v>1009</v>
      </c>
      <c r="E6" s="8" t="s">
        <v>1010</v>
      </c>
    </row>
    <row r="7" spans="1:5" x14ac:dyDescent="0.35">
      <c r="A7" s="8" t="s">
        <v>1011</v>
      </c>
      <c r="B7" s="8" t="s">
        <v>1007</v>
      </c>
      <c r="C7" s="8" t="s">
        <v>1012</v>
      </c>
      <c r="D7" s="8" t="s">
        <v>1013</v>
      </c>
      <c r="E7" s="8" t="s">
        <v>1010</v>
      </c>
    </row>
    <row r="8" spans="1:5" x14ac:dyDescent="0.35">
      <c r="A8" s="8" t="s">
        <v>1014</v>
      </c>
      <c r="B8" s="8" t="s">
        <v>998</v>
      </c>
      <c r="C8" s="8" t="s">
        <v>1015</v>
      </c>
      <c r="D8" s="8" t="s">
        <v>1016</v>
      </c>
      <c r="E8" s="8" t="s">
        <v>1017</v>
      </c>
    </row>
    <row r="9" spans="1:5" x14ac:dyDescent="0.35">
      <c r="A9" s="8" t="s">
        <v>1018</v>
      </c>
      <c r="B9" s="8" t="s">
        <v>557</v>
      </c>
      <c r="C9" s="8" t="s">
        <v>1019</v>
      </c>
      <c r="D9" s="8" t="s">
        <v>510</v>
      </c>
      <c r="E9" s="8" t="s">
        <v>1020</v>
      </c>
    </row>
  </sheetData>
  <autoFilter ref="A1:E9"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2"/>
  <sheetViews>
    <sheetView showGridLines="0" workbookViewId="0">
      <pane ySplit="1" topLeftCell="A2" activePane="bottomLeft" state="frozen"/>
      <selection pane="bottomLeft"/>
    </sheetView>
  </sheetViews>
  <sheetFormatPr defaultRowHeight="14.5" x14ac:dyDescent="0.35"/>
  <cols>
    <col min="1" max="1" width="56" customWidth="1"/>
    <col min="2" max="2" width="50" customWidth="1"/>
    <col min="3" max="3" width="40" customWidth="1"/>
  </cols>
  <sheetData>
    <row r="1" spans="1:3" x14ac:dyDescent="0.35">
      <c r="A1" s="7" t="s">
        <v>1021</v>
      </c>
      <c r="B1" s="7" t="s">
        <v>1022</v>
      </c>
      <c r="C1" s="7" t="s">
        <v>1023</v>
      </c>
    </row>
    <row r="2" spans="1:3" ht="25" x14ac:dyDescent="0.35">
      <c r="A2" s="8" t="s">
        <v>1024</v>
      </c>
      <c r="B2" s="8" t="s">
        <v>1025</v>
      </c>
      <c r="C2" s="8" t="s">
        <v>1026</v>
      </c>
    </row>
    <row r="3" spans="1:3" x14ac:dyDescent="0.35">
      <c r="A3" s="8" t="s">
        <v>1027</v>
      </c>
      <c r="B3" s="8" t="s">
        <v>1028</v>
      </c>
      <c r="C3" s="8" t="s">
        <v>1026</v>
      </c>
    </row>
    <row r="4" spans="1:3" ht="25" x14ac:dyDescent="0.35">
      <c r="A4" s="8" t="s">
        <v>1029</v>
      </c>
      <c r="B4" s="8" t="s">
        <v>1030</v>
      </c>
      <c r="C4" s="8" t="s">
        <v>1031</v>
      </c>
    </row>
    <row r="5" spans="1:3" ht="25" x14ac:dyDescent="0.35">
      <c r="A5" s="8" t="s">
        <v>1032</v>
      </c>
      <c r="B5" s="8" t="s">
        <v>1033</v>
      </c>
      <c r="C5" s="8" t="s">
        <v>1034</v>
      </c>
    </row>
    <row r="6" spans="1:3" ht="37.5" x14ac:dyDescent="0.35">
      <c r="A6" s="8" t="s">
        <v>1035</v>
      </c>
      <c r="B6" s="8" t="s">
        <v>1036</v>
      </c>
      <c r="C6" s="8" t="s">
        <v>1037</v>
      </c>
    </row>
    <row r="7" spans="1:3" ht="25" x14ac:dyDescent="0.35">
      <c r="A7" s="8" t="s">
        <v>1038</v>
      </c>
      <c r="B7" s="8" t="s">
        <v>1039</v>
      </c>
      <c r="C7" s="8" t="s">
        <v>1040</v>
      </c>
    </row>
    <row r="8" spans="1:3" x14ac:dyDescent="0.35">
      <c r="A8" s="8" t="s">
        <v>1041</v>
      </c>
      <c r="B8" s="8" t="s">
        <v>1042</v>
      </c>
      <c r="C8" s="8" t="s">
        <v>1026</v>
      </c>
    </row>
    <row r="9" spans="1:3" x14ac:dyDescent="0.35">
      <c r="A9" s="8" t="s">
        <v>1043</v>
      </c>
      <c r="B9" s="8" t="s">
        <v>1044</v>
      </c>
      <c r="C9" s="8" t="s">
        <v>1026</v>
      </c>
    </row>
    <row r="10" spans="1:3" x14ac:dyDescent="0.35">
      <c r="A10" s="8" t="s">
        <v>1045</v>
      </c>
      <c r="B10" s="8" t="s">
        <v>1046</v>
      </c>
      <c r="C10" s="8" t="s">
        <v>1047</v>
      </c>
    </row>
    <row r="11" spans="1:3" x14ac:dyDescent="0.35">
      <c r="A11" s="8" t="s">
        <v>1048</v>
      </c>
      <c r="B11" s="8" t="s">
        <v>1049</v>
      </c>
      <c r="C11" s="8" t="s">
        <v>1047</v>
      </c>
    </row>
    <row r="12" spans="1:3" ht="25" x14ac:dyDescent="0.35">
      <c r="A12" s="8" t="s">
        <v>1050</v>
      </c>
      <c r="B12" s="8" t="s">
        <v>1051</v>
      </c>
      <c r="C12" s="8" t="s">
        <v>1052</v>
      </c>
    </row>
  </sheetData>
  <autoFilter ref="A1:C12"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5"/>
  <sheetViews>
    <sheetView showGridLines="0" workbookViewId="0">
      <pane ySplit="1" topLeftCell="A2" activePane="bottomLeft" state="frozen"/>
      <selection pane="bottomLeft"/>
    </sheetView>
  </sheetViews>
  <sheetFormatPr defaultRowHeight="14.5" x14ac:dyDescent="0.35"/>
  <cols>
    <col min="1" max="1" width="46" customWidth="1"/>
    <col min="2" max="2" width="10" customWidth="1"/>
    <col min="3" max="3" width="13" customWidth="1"/>
    <col min="4" max="4" width="12" customWidth="1"/>
    <col min="5" max="5" width="13" customWidth="1"/>
    <col min="6" max="7" width="10" customWidth="1"/>
    <col min="8" max="8" width="17" customWidth="1"/>
    <col min="9" max="9" width="15" customWidth="1"/>
  </cols>
  <sheetData>
    <row r="1" spans="1:9" x14ac:dyDescent="0.35">
      <c r="A1" s="7" t="s">
        <v>1053</v>
      </c>
      <c r="B1" s="7" t="s">
        <v>267</v>
      </c>
      <c r="C1" s="7" t="s">
        <v>1054</v>
      </c>
      <c r="D1" s="7" t="s">
        <v>1055</v>
      </c>
      <c r="E1" s="7" t="s">
        <v>1056</v>
      </c>
      <c r="F1" s="7" t="s">
        <v>1057</v>
      </c>
      <c r="G1" s="7" t="s">
        <v>1058</v>
      </c>
      <c r="H1" s="7" t="s">
        <v>1059</v>
      </c>
      <c r="I1" s="7" t="s">
        <v>1060</v>
      </c>
    </row>
    <row r="2" spans="1:9" x14ac:dyDescent="0.35">
      <c r="A2" s="8" t="s">
        <v>1061</v>
      </c>
      <c r="B2" s="8" t="s">
        <v>1062</v>
      </c>
      <c r="C2" s="8" t="s">
        <v>1063</v>
      </c>
      <c r="D2" s="8" t="s">
        <v>1064</v>
      </c>
      <c r="E2" s="8" t="s">
        <v>1065</v>
      </c>
      <c r="F2" s="8" t="s">
        <v>1066</v>
      </c>
      <c r="G2" s="8" t="s">
        <v>1067</v>
      </c>
      <c r="H2" s="8" t="s">
        <v>1068</v>
      </c>
      <c r="I2" s="8" t="s">
        <v>1069</v>
      </c>
    </row>
    <row r="3" spans="1:9" x14ac:dyDescent="0.35">
      <c r="A3" s="8" t="s">
        <v>391</v>
      </c>
      <c r="B3" s="8" t="s">
        <v>1070</v>
      </c>
      <c r="C3" s="8" t="s">
        <v>1063</v>
      </c>
      <c r="D3" s="8" t="s">
        <v>1064</v>
      </c>
      <c r="E3" s="8" t="s">
        <v>1065</v>
      </c>
      <c r="F3" s="8" t="s">
        <v>1066</v>
      </c>
      <c r="G3" s="8" t="s">
        <v>1071</v>
      </c>
      <c r="H3" s="8" t="s">
        <v>1068</v>
      </c>
      <c r="I3" s="8" t="s">
        <v>1072</v>
      </c>
    </row>
    <row r="4" spans="1:9" x14ac:dyDescent="0.35">
      <c r="A4" s="8" t="s">
        <v>1073</v>
      </c>
      <c r="B4" s="8" t="s">
        <v>1070</v>
      </c>
      <c r="C4" s="8" t="s">
        <v>1074</v>
      </c>
      <c r="D4" s="8" t="s">
        <v>1075</v>
      </c>
      <c r="E4" s="8" t="s">
        <v>1076</v>
      </c>
      <c r="F4" s="8" t="s">
        <v>1066</v>
      </c>
      <c r="G4" s="8" t="s">
        <v>1077</v>
      </c>
      <c r="H4" s="8" t="s">
        <v>1078</v>
      </c>
      <c r="I4" s="8" t="s">
        <v>1079</v>
      </c>
    </row>
    <row r="5" spans="1:9" x14ac:dyDescent="0.35">
      <c r="A5" s="8" t="s">
        <v>1080</v>
      </c>
      <c r="B5" s="8" t="s">
        <v>1081</v>
      </c>
      <c r="C5" s="8" t="s">
        <v>1082</v>
      </c>
      <c r="D5" s="8" t="s">
        <v>1083</v>
      </c>
      <c r="E5" s="8" t="s">
        <v>1084</v>
      </c>
      <c r="F5" s="8" t="s">
        <v>1046</v>
      </c>
      <c r="G5" s="8" t="s">
        <v>1046</v>
      </c>
      <c r="H5" s="8" t="s">
        <v>1085</v>
      </c>
      <c r="I5" s="8" t="s">
        <v>1086</v>
      </c>
    </row>
  </sheetData>
  <autoFilter ref="A1:I5"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17"/>
  <sheetViews>
    <sheetView showGridLines="0" workbookViewId="0">
      <pane ySplit="1" topLeftCell="A2" activePane="bottomLeft" state="frozen"/>
      <selection pane="bottomLeft"/>
    </sheetView>
  </sheetViews>
  <sheetFormatPr defaultRowHeight="14.5" x14ac:dyDescent="0.35"/>
  <cols>
    <col min="1" max="1" width="42" customWidth="1"/>
    <col min="2" max="2" width="56" customWidth="1"/>
    <col min="3" max="3" width="22" customWidth="1"/>
  </cols>
  <sheetData>
    <row r="1" spans="1:3" x14ac:dyDescent="0.35">
      <c r="A1" s="7" t="s">
        <v>357</v>
      </c>
      <c r="B1" s="7" t="s">
        <v>1087</v>
      </c>
      <c r="C1" s="7" t="s">
        <v>1088</v>
      </c>
    </row>
    <row r="2" spans="1:3" x14ac:dyDescent="0.35">
      <c r="A2" s="8" t="s">
        <v>1089</v>
      </c>
      <c r="B2" s="8" t="s">
        <v>1090</v>
      </c>
      <c r="C2" s="8" t="s">
        <v>1091</v>
      </c>
    </row>
    <row r="3" spans="1:3" x14ac:dyDescent="0.35">
      <c r="A3" s="8" t="s">
        <v>1092</v>
      </c>
      <c r="B3" s="8" t="s">
        <v>1093</v>
      </c>
      <c r="C3" s="8" t="s">
        <v>1091</v>
      </c>
    </row>
    <row r="4" spans="1:3" x14ac:dyDescent="0.35">
      <c r="A4" s="8" t="s">
        <v>1094</v>
      </c>
      <c r="B4" s="8" t="s">
        <v>305</v>
      </c>
      <c r="C4" s="8" t="s">
        <v>1091</v>
      </c>
    </row>
    <row r="5" spans="1:3" x14ac:dyDescent="0.35">
      <c r="A5" s="8" t="s">
        <v>1095</v>
      </c>
      <c r="B5" s="8" t="s">
        <v>1096</v>
      </c>
      <c r="C5" s="8" t="s">
        <v>1091</v>
      </c>
    </row>
    <row r="6" spans="1:3" x14ac:dyDescent="0.35">
      <c r="A6" s="8" t="s">
        <v>1097</v>
      </c>
      <c r="B6" s="8" t="s">
        <v>1098</v>
      </c>
      <c r="C6" s="8" t="s">
        <v>1091</v>
      </c>
    </row>
    <row r="7" spans="1:3" x14ac:dyDescent="0.35">
      <c r="A7" s="8" t="s">
        <v>1099</v>
      </c>
      <c r="B7" s="8" t="s">
        <v>309</v>
      </c>
      <c r="C7" s="8" t="s">
        <v>1091</v>
      </c>
    </row>
    <row r="8" spans="1:3" x14ac:dyDescent="0.35">
      <c r="A8" s="8" t="s">
        <v>1100</v>
      </c>
      <c r="B8" s="8" t="s">
        <v>1101</v>
      </c>
      <c r="C8" s="8" t="s">
        <v>1091</v>
      </c>
    </row>
    <row r="9" spans="1:3" x14ac:dyDescent="0.35">
      <c r="A9" s="8" t="s">
        <v>1102</v>
      </c>
      <c r="B9" s="8" t="s">
        <v>583</v>
      </c>
      <c r="C9" s="8" t="s">
        <v>1091</v>
      </c>
    </row>
    <row r="10" spans="1:3" x14ac:dyDescent="0.35">
      <c r="A10" s="8" t="s">
        <v>1103</v>
      </c>
      <c r="B10" s="8" t="s">
        <v>309</v>
      </c>
      <c r="C10" s="8" t="s">
        <v>1091</v>
      </c>
    </row>
    <row r="11" spans="1:3" x14ac:dyDescent="0.35">
      <c r="A11" s="8" t="s">
        <v>1104</v>
      </c>
      <c r="B11" s="8" t="s">
        <v>1105</v>
      </c>
      <c r="C11" s="8" t="s">
        <v>1091</v>
      </c>
    </row>
    <row r="12" spans="1:3" x14ac:dyDescent="0.35">
      <c r="A12" s="8" t="s">
        <v>1106</v>
      </c>
      <c r="B12" s="8" t="s">
        <v>1107</v>
      </c>
      <c r="C12" s="8" t="s">
        <v>1108</v>
      </c>
    </row>
    <row r="13" spans="1:3" x14ac:dyDescent="0.35">
      <c r="A13" s="8" t="s">
        <v>1109</v>
      </c>
      <c r="B13" s="8" t="s">
        <v>1110</v>
      </c>
      <c r="C13" s="8" t="s">
        <v>1111</v>
      </c>
    </row>
    <row r="14" spans="1:3" x14ac:dyDescent="0.35">
      <c r="A14" s="8" t="s">
        <v>1112</v>
      </c>
      <c r="B14" s="8" t="s">
        <v>1113</v>
      </c>
      <c r="C14" s="8" t="s">
        <v>1111</v>
      </c>
    </row>
    <row r="15" spans="1:3" x14ac:dyDescent="0.35">
      <c r="A15" s="8" t="s">
        <v>1114</v>
      </c>
      <c r="B15" s="8" t="s">
        <v>1115</v>
      </c>
      <c r="C15" s="8" t="s">
        <v>1111</v>
      </c>
    </row>
    <row r="16" spans="1:3" x14ac:dyDescent="0.35">
      <c r="A16" s="8" t="s">
        <v>1116</v>
      </c>
      <c r="B16" s="8" t="s">
        <v>1117</v>
      </c>
      <c r="C16" s="8" t="s">
        <v>1091</v>
      </c>
    </row>
    <row r="17" spans="1:3" x14ac:dyDescent="0.35">
      <c r="A17" s="8" t="s">
        <v>1118</v>
      </c>
      <c r="B17" s="8" t="s">
        <v>329</v>
      </c>
      <c r="C17" s="8" t="s">
        <v>1091</v>
      </c>
    </row>
  </sheetData>
  <autoFilter ref="A1:C17" xr:uid="{00000000-0009-0000-0000-000012000000}"/>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14"/>
  <sheetViews>
    <sheetView showGridLines="0" workbookViewId="0">
      <pane ySplit="1" topLeftCell="A2" activePane="bottomLeft" state="frozen"/>
      <selection pane="bottomLeft"/>
    </sheetView>
  </sheetViews>
  <sheetFormatPr defaultRowHeight="14.5" x14ac:dyDescent="0.35"/>
  <cols>
    <col min="1" max="1" width="8" customWidth="1"/>
    <col min="2" max="2" width="34" customWidth="1"/>
    <col min="3" max="3" width="50" customWidth="1"/>
  </cols>
  <sheetData>
    <row r="1" spans="1:3" x14ac:dyDescent="0.35">
      <c r="A1" s="7" t="s">
        <v>1119</v>
      </c>
      <c r="B1" s="7" t="s">
        <v>358</v>
      </c>
      <c r="C1" s="7" t="s">
        <v>1120</v>
      </c>
    </row>
    <row r="2" spans="1:3" x14ac:dyDescent="0.35">
      <c r="A2" s="8" t="s">
        <v>1121</v>
      </c>
      <c r="B2" s="8" t="s">
        <v>1122</v>
      </c>
      <c r="C2" s="8" t="s">
        <v>1123</v>
      </c>
    </row>
    <row r="3" spans="1:3" x14ac:dyDescent="0.35">
      <c r="A3" s="8" t="s">
        <v>1124</v>
      </c>
      <c r="B3" s="8" t="s">
        <v>1125</v>
      </c>
      <c r="C3" s="8" t="s">
        <v>1126</v>
      </c>
    </row>
    <row r="4" spans="1:3" x14ac:dyDescent="0.35">
      <c r="A4" s="8" t="s">
        <v>1127</v>
      </c>
      <c r="B4" s="8" t="s">
        <v>1128</v>
      </c>
      <c r="C4" s="8" t="s">
        <v>1129</v>
      </c>
    </row>
    <row r="5" spans="1:3" x14ac:dyDescent="0.35">
      <c r="A5" s="8" t="s">
        <v>1130</v>
      </c>
      <c r="B5" s="8" t="s">
        <v>1131</v>
      </c>
      <c r="C5" s="8" t="s">
        <v>1132</v>
      </c>
    </row>
    <row r="6" spans="1:3" x14ac:dyDescent="0.35">
      <c r="A6" s="8" t="s">
        <v>1133</v>
      </c>
      <c r="B6" s="8" t="s">
        <v>1134</v>
      </c>
      <c r="C6" s="8" t="s">
        <v>1135</v>
      </c>
    </row>
    <row r="7" spans="1:3" x14ac:dyDescent="0.35">
      <c r="A7" s="8" t="s">
        <v>1136</v>
      </c>
      <c r="B7" s="8" t="s">
        <v>1137</v>
      </c>
      <c r="C7" s="8" t="s">
        <v>1138</v>
      </c>
    </row>
    <row r="8" spans="1:3" x14ac:dyDescent="0.35">
      <c r="A8" s="8" t="s">
        <v>1139</v>
      </c>
      <c r="B8" s="8" t="s">
        <v>1140</v>
      </c>
      <c r="C8" s="8" t="s">
        <v>1141</v>
      </c>
    </row>
    <row r="9" spans="1:3" x14ac:dyDescent="0.35">
      <c r="A9" s="8" t="s">
        <v>1142</v>
      </c>
      <c r="B9" s="8" t="s">
        <v>1143</v>
      </c>
      <c r="C9" s="8" t="s">
        <v>1144</v>
      </c>
    </row>
    <row r="10" spans="1:3" x14ac:dyDescent="0.35">
      <c r="A10" s="8" t="s">
        <v>1145</v>
      </c>
      <c r="B10" s="8" t="s">
        <v>1146</v>
      </c>
      <c r="C10" s="8" t="s">
        <v>1147</v>
      </c>
    </row>
    <row r="11" spans="1:3" x14ac:dyDescent="0.35">
      <c r="A11" s="8" t="s">
        <v>1148</v>
      </c>
      <c r="B11" s="8" t="s">
        <v>1149</v>
      </c>
      <c r="C11" s="8" t="s">
        <v>1150</v>
      </c>
    </row>
    <row r="12" spans="1:3" x14ac:dyDescent="0.35">
      <c r="A12" s="8" t="s">
        <v>1151</v>
      </c>
      <c r="B12" s="8" t="s">
        <v>1152</v>
      </c>
      <c r="C12" s="8" t="s">
        <v>1153</v>
      </c>
    </row>
    <row r="13" spans="1:3" x14ac:dyDescent="0.35">
      <c r="A13" s="8" t="s">
        <v>1154</v>
      </c>
      <c r="B13" s="8" t="s">
        <v>1155</v>
      </c>
      <c r="C13" s="8" t="s">
        <v>1156</v>
      </c>
    </row>
    <row r="14" spans="1:3" ht="25" x14ac:dyDescent="0.35">
      <c r="A14" s="8" t="s">
        <v>1157</v>
      </c>
      <c r="B14" s="8" t="s">
        <v>1158</v>
      </c>
      <c r="C14" s="8" t="s">
        <v>1159</v>
      </c>
    </row>
  </sheetData>
  <autoFilter ref="A1:C14" xr:uid="{00000000-0009-0000-0000-000013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12"/>
  <sheetViews>
    <sheetView showGridLines="0" workbookViewId="0">
      <pane ySplit="1" topLeftCell="A2" activePane="bottomLeft" state="frozen"/>
      <selection pane="bottomLeft"/>
    </sheetView>
  </sheetViews>
  <sheetFormatPr defaultRowHeight="14.5" x14ac:dyDescent="0.35"/>
  <cols>
    <col min="1" max="1" width="8" customWidth="1"/>
    <col min="2" max="2" width="60" customWidth="1"/>
    <col min="3" max="4" width="12" customWidth="1"/>
  </cols>
  <sheetData>
    <row r="1" spans="1:4" x14ac:dyDescent="0.35">
      <c r="A1" s="7" t="s">
        <v>66</v>
      </c>
      <c r="B1" s="7" t="s">
        <v>783</v>
      </c>
      <c r="C1" s="7" t="s">
        <v>785</v>
      </c>
      <c r="D1" s="7" t="s">
        <v>1160</v>
      </c>
    </row>
    <row r="2" spans="1:4" x14ac:dyDescent="0.35">
      <c r="A2" s="8" t="s">
        <v>1161</v>
      </c>
      <c r="B2" s="8" t="s">
        <v>1162</v>
      </c>
      <c r="C2" s="8" t="s">
        <v>1163</v>
      </c>
      <c r="D2" s="8"/>
    </row>
    <row r="3" spans="1:4" x14ac:dyDescent="0.35">
      <c r="A3" s="8" t="s">
        <v>1164</v>
      </c>
      <c r="B3" s="8" t="s">
        <v>1165</v>
      </c>
      <c r="C3" s="8" t="s">
        <v>1163</v>
      </c>
      <c r="D3" s="8"/>
    </row>
    <row r="4" spans="1:4" x14ac:dyDescent="0.35">
      <c r="A4" s="8" t="s">
        <v>1166</v>
      </c>
      <c r="B4" s="8" t="s">
        <v>1167</v>
      </c>
      <c r="C4" s="8" t="s">
        <v>1163</v>
      </c>
      <c r="D4" s="8"/>
    </row>
    <row r="5" spans="1:4" x14ac:dyDescent="0.35">
      <c r="A5" s="8" t="s">
        <v>1168</v>
      </c>
      <c r="B5" s="8" t="s">
        <v>1169</v>
      </c>
      <c r="C5" s="8" t="s">
        <v>1163</v>
      </c>
      <c r="D5" s="8"/>
    </row>
    <row r="6" spans="1:4" x14ac:dyDescent="0.35">
      <c r="A6" s="8" t="s">
        <v>1170</v>
      </c>
      <c r="B6" s="8" t="s">
        <v>1171</v>
      </c>
      <c r="C6" s="8" t="s">
        <v>1163</v>
      </c>
      <c r="D6" s="8"/>
    </row>
    <row r="7" spans="1:4" x14ac:dyDescent="0.35">
      <c r="A7" s="8" t="s">
        <v>1172</v>
      </c>
      <c r="B7" s="8" t="s">
        <v>1173</v>
      </c>
      <c r="C7" s="8" t="s">
        <v>1163</v>
      </c>
      <c r="D7" s="8"/>
    </row>
    <row r="8" spans="1:4" x14ac:dyDescent="0.35">
      <c r="A8" s="8" t="s">
        <v>1174</v>
      </c>
      <c r="B8" s="8" t="s">
        <v>1175</v>
      </c>
      <c r="C8" s="8" t="s">
        <v>798</v>
      </c>
      <c r="D8" s="8"/>
    </row>
    <row r="9" spans="1:4" x14ac:dyDescent="0.35">
      <c r="A9" s="8" t="s">
        <v>1176</v>
      </c>
      <c r="B9" s="8" t="s">
        <v>1177</v>
      </c>
      <c r="C9" s="8" t="s">
        <v>798</v>
      </c>
      <c r="D9" s="8"/>
    </row>
    <row r="10" spans="1:4" x14ac:dyDescent="0.35">
      <c r="A10" s="8" t="s">
        <v>1178</v>
      </c>
      <c r="B10" s="8" t="s">
        <v>1179</v>
      </c>
      <c r="C10" s="8" t="s">
        <v>1163</v>
      </c>
      <c r="D10" s="8"/>
    </row>
    <row r="11" spans="1:4" x14ac:dyDescent="0.35">
      <c r="A11" s="8" t="s">
        <v>1180</v>
      </c>
      <c r="B11" s="8" t="s">
        <v>1181</v>
      </c>
      <c r="C11" s="8" t="s">
        <v>1163</v>
      </c>
      <c r="D11" s="8"/>
    </row>
    <row r="12" spans="1:4" x14ac:dyDescent="0.35">
      <c r="A12" s="8" t="s">
        <v>1182</v>
      </c>
      <c r="B12" s="8" t="s">
        <v>1183</v>
      </c>
      <c r="C12" s="8" t="s">
        <v>1163</v>
      </c>
      <c r="D12" s="8"/>
    </row>
  </sheetData>
  <autoFilter ref="A1:D12" xr:uid="{00000000-0009-0000-0000-000014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6"/>
  <sheetViews>
    <sheetView showGridLines="0" workbookViewId="0">
      <pane ySplit="1" topLeftCell="A2" activePane="bottomLeft" state="frozen"/>
      <selection pane="bottomLeft"/>
    </sheetView>
  </sheetViews>
  <sheetFormatPr defaultRowHeight="14.5" x14ac:dyDescent="0.35"/>
  <cols>
    <col min="1" max="1" width="8" customWidth="1"/>
    <col min="2" max="2" width="70" customWidth="1"/>
    <col min="3" max="3" width="20" customWidth="1"/>
  </cols>
  <sheetData>
    <row r="1" spans="1:3" x14ac:dyDescent="0.35">
      <c r="A1" s="7" t="s">
        <v>66</v>
      </c>
      <c r="B1" s="7" t="s">
        <v>860</v>
      </c>
      <c r="C1" s="7" t="s">
        <v>862</v>
      </c>
    </row>
    <row r="2" spans="1:3" x14ac:dyDescent="0.35">
      <c r="A2" s="8" t="s">
        <v>1184</v>
      </c>
      <c r="B2" s="8" t="s">
        <v>1185</v>
      </c>
      <c r="C2" s="8" t="s">
        <v>441</v>
      </c>
    </row>
    <row r="3" spans="1:3" x14ac:dyDescent="0.35">
      <c r="A3" s="8" t="s">
        <v>1186</v>
      </c>
      <c r="B3" s="8" t="s">
        <v>1187</v>
      </c>
      <c r="C3" s="8" t="s">
        <v>892</v>
      </c>
    </row>
    <row r="4" spans="1:3" x14ac:dyDescent="0.35">
      <c r="A4" s="8" t="s">
        <v>1188</v>
      </c>
      <c r="B4" s="8" t="s">
        <v>1189</v>
      </c>
      <c r="C4" s="8" t="s">
        <v>892</v>
      </c>
    </row>
    <row r="5" spans="1:3" x14ac:dyDescent="0.35">
      <c r="A5" s="8" t="s">
        <v>1190</v>
      </c>
      <c r="B5" s="8" t="s">
        <v>1191</v>
      </c>
      <c r="C5" s="8" t="s">
        <v>892</v>
      </c>
    </row>
    <row r="6" spans="1:3" x14ac:dyDescent="0.35">
      <c r="A6" s="8" t="s">
        <v>1192</v>
      </c>
      <c r="B6" s="8" t="s">
        <v>1193</v>
      </c>
      <c r="C6" s="8" t="s">
        <v>884</v>
      </c>
    </row>
  </sheetData>
  <autoFilter ref="A1:C6" xr:uid="{00000000-0009-0000-0000-000015000000}"/>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28"/>
  <sheetViews>
    <sheetView showGridLines="0" workbookViewId="0">
      <pane ySplit="3" topLeftCell="A4" activePane="bottomLeft" state="frozen"/>
      <selection pane="bottomLeft"/>
    </sheetView>
  </sheetViews>
  <sheetFormatPr defaultRowHeight="14.5" x14ac:dyDescent="0.35"/>
  <cols>
    <col min="1" max="1" width="13" customWidth="1"/>
    <col min="2" max="2" width="36" customWidth="1"/>
    <col min="3" max="4" width="12" customWidth="1"/>
    <col min="5" max="6" width="16" customWidth="1"/>
  </cols>
  <sheetData>
    <row r="1" spans="1:6" x14ac:dyDescent="0.35">
      <c r="A1" s="9" t="s">
        <v>1194</v>
      </c>
    </row>
    <row r="3" spans="1:6" x14ac:dyDescent="0.35">
      <c r="A3" s="7" t="s">
        <v>307</v>
      </c>
      <c r="B3" s="7" t="s">
        <v>365</v>
      </c>
      <c r="C3" s="7" t="s">
        <v>369</v>
      </c>
      <c r="D3" s="7" t="s">
        <v>377</v>
      </c>
      <c r="E3" s="7" t="s">
        <v>381</v>
      </c>
      <c r="F3" s="7" t="s">
        <v>385</v>
      </c>
    </row>
    <row r="4" spans="1:6" x14ac:dyDescent="0.35">
      <c r="A4" s="10" t="s">
        <v>1195</v>
      </c>
      <c r="B4" s="10" t="s">
        <v>1196</v>
      </c>
      <c r="C4" s="10" t="s">
        <v>1197</v>
      </c>
      <c r="D4" s="10" t="s">
        <v>1198</v>
      </c>
      <c r="E4" s="10">
        <v>4</v>
      </c>
      <c r="F4" s="10" t="s">
        <v>1199</v>
      </c>
    </row>
    <row r="5" spans="1:6" x14ac:dyDescent="0.35">
      <c r="A5" s="10" t="s">
        <v>1200</v>
      </c>
      <c r="B5" s="10" t="s">
        <v>1201</v>
      </c>
      <c r="C5" s="10" t="s">
        <v>1202</v>
      </c>
      <c r="D5" s="10" t="s">
        <v>1203</v>
      </c>
      <c r="E5" s="10">
        <v>5</v>
      </c>
      <c r="F5" s="10" t="s">
        <v>1204</v>
      </c>
    </row>
    <row r="6" spans="1:6" x14ac:dyDescent="0.35">
      <c r="A6" s="10" t="s">
        <v>1205</v>
      </c>
      <c r="B6" s="10" t="s">
        <v>1206</v>
      </c>
      <c r="C6" s="10" t="s">
        <v>1207</v>
      </c>
      <c r="D6" s="10" t="s">
        <v>1208</v>
      </c>
      <c r="E6" s="10">
        <v>4</v>
      </c>
      <c r="F6" s="10" t="s">
        <v>1209</v>
      </c>
    </row>
    <row r="7" spans="1:6" x14ac:dyDescent="0.35">
      <c r="A7" s="10" t="s">
        <v>1210</v>
      </c>
      <c r="B7" s="10" t="s">
        <v>1211</v>
      </c>
      <c r="C7" s="10" t="s">
        <v>1212</v>
      </c>
      <c r="D7" s="10" t="s">
        <v>1213</v>
      </c>
      <c r="E7" s="10">
        <v>6</v>
      </c>
      <c r="F7" s="10" t="s">
        <v>1214</v>
      </c>
    </row>
    <row r="8" spans="1:6" x14ac:dyDescent="0.35">
      <c r="A8" s="10" t="s">
        <v>1215</v>
      </c>
      <c r="B8" s="10" t="s">
        <v>1216</v>
      </c>
      <c r="C8" s="10" t="s">
        <v>1217</v>
      </c>
      <c r="D8" s="10" t="s">
        <v>1218</v>
      </c>
      <c r="E8" s="10">
        <v>3</v>
      </c>
      <c r="F8" s="10" t="s">
        <v>1219</v>
      </c>
    </row>
    <row r="9" spans="1:6" x14ac:dyDescent="0.35">
      <c r="A9" s="10" t="s">
        <v>1220</v>
      </c>
      <c r="B9" s="10" t="s">
        <v>1221</v>
      </c>
      <c r="C9" s="10" t="s">
        <v>1222</v>
      </c>
      <c r="D9" s="10" t="s">
        <v>1223</v>
      </c>
      <c r="E9" s="10">
        <v>4</v>
      </c>
      <c r="F9" s="10" t="s">
        <v>1224</v>
      </c>
    </row>
    <row r="10" spans="1:6" x14ac:dyDescent="0.35">
      <c r="A10" s="10" t="s">
        <v>364</v>
      </c>
      <c r="B10" s="10" t="s">
        <v>368</v>
      </c>
      <c r="C10" s="10" t="s">
        <v>372</v>
      </c>
      <c r="D10" s="10" t="s">
        <v>380</v>
      </c>
      <c r="E10" s="10">
        <v>5</v>
      </c>
      <c r="F10" s="10" t="s">
        <v>388</v>
      </c>
    </row>
    <row r="11" spans="1:6" x14ac:dyDescent="0.35">
      <c r="A11" s="10" t="s">
        <v>1225</v>
      </c>
      <c r="B11" s="10" t="s">
        <v>1226</v>
      </c>
      <c r="C11" s="10" t="s">
        <v>1207</v>
      </c>
      <c r="D11" s="10" t="s">
        <v>1227</v>
      </c>
      <c r="E11" s="10">
        <v>6</v>
      </c>
      <c r="F11" s="10" t="s">
        <v>1228</v>
      </c>
    </row>
    <row r="12" spans="1:6" x14ac:dyDescent="0.35">
      <c r="A12" s="10" t="s">
        <v>1229</v>
      </c>
      <c r="B12" s="10" t="s">
        <v>1230</v>
      </c>
      <c r="C12" s="10" t="s">
        <v>1231</v>
      </c>
      <c r="D12" s="10" t="s">
        <v>1232</v>
      </c>
      <c r="E12" s="10">
        <v>5</v>
      </c>
      <c r="F12" s="10" t="s">
        <v>1233</v>
      </c>
    </row>
    <row r="13" spans="1:6" x14ac:dyDescent="0.35">
      <c r="A13" s="10" t="s">
        <v>1234</v>
      </c>
      <c r="B13" s="10" t="s">
        <v>1235</v>
      </c>
      <c r="C13" s="10" t="s">
        <v>1236</v>
      </c>
      <c r="D13" s="10" t="s">
        <v>1237</v>
      </c>
      <c r="E13" s="10">
        <v>3</v>
      </c>
      <c r="F13" s="10" t="s">
        <v>1238</v>
      </c>
    </row>
    <row r="14" spans="1:6" x14ac:dyDescent="0.35">
      <c r="A14" s="10" t="s">
        <v>1239</v>
      </c>
      <c r="B14" s="10" t="s">
        <v>1240</v>
      </c>
      <c r="C14" s="10" t="s">
        <v>1241</v>
      </c>
      <c r="D14" s="10" t="s">
        <v>1242</v>
      </c>
      <c r="E14" s="10">
        <v>7</v>
      </c>
      <c r="F14" s="10" t="s">
        <v>1243</v>
      </c>
    </row>
    <row r="15" spans="1:6" x14ac:dyDescent="0.35">
      <c r="A15" s="10" t="s">
        <v>1244</v>
      </c>
      <c r="B15" s="10" t="s">
        <v>1245</v>
      </c>
      <c r="C15" s="10" t="s">
        <v>1222</v>
      </c>
      <c r="D15" s="10" t="s">
        <v>1246</v>
      </c>
      <c r="E15" s="10">
        <v>5</v>
      </c>
      <c r="F15" s="10" t="s">
        <v>1247</v>
      </c>
    </row>
    <row r="16" spans="1:6" x14ac:dyDescent="0.35">
      <c r="A16" s="10" t="s">
        <v>1248</v>
      </c>
      <c r="B16" s="10" t="s">
        <v>1249</v>
      </c>
      <c r="C16" s="10" t="s">
        <v>1250</v>
      </c>
      <c r="D16" s="10" t="s">
        <v>1251</v>
      </c>
      <c r="E16" s="10">
        <v>4</v>
      </c>
      <c r="F16" s="10" t="s">
        <v>1252</v>
      </c>
    </row>
    <row r="17" spans="1:6" x14ac:dyDescent="0.35">
      <c r="A17" s="10" t="s">
        <v>1253</v>
      </c>
      <c r="B17" s="10" t="s">
        <v>1254</v>
      </c>
      <c r="C17" s="10"/>
      <c r="D17" s="10" t="s">
        <v>1255</v>
      </c>
      <c r="E17" s="10">
        <v>3</v>
      </c>
      <c r="F17" s="10" t="s">
        <v>1256</v>
      </c>
    </row>
    <row r="18" spans="1:6" x14ac:dyDescent="0.35">
      <c r="A18" s="10" t="s">
        <v>1257</v>
      </c>
      <c r="B18" s="10" t="s">
        <v>1258</v>
      </c>
      <c r="C18" s="10" t="s">
        <v>1259</v>
      </c>
      <c r="D18" s="10" t="s">
        <v>1260</v>
      </c>
      <c r="E18" s="10">
        <v>7</v>
      </c>
      <c r="F18" s="10" t="s">
        <v>1261</v>
      </c>
    </row>
    <row r="19" spans="1:6" x14ac:dyDescent="0.35">
      <c r="A19" s="10" t="s">
        <v>1262</v>
      </c>
      <c r="B19" s="10" t="s">
        <v>1263</v>
      </c>
      <c r="C19" s="10" t="s">
        <v>1264</v>
      </c>
      <c r="D19" s="10" t="s">
        <v>1265</v>
      </c>
      <c r="E19" s="10">
        <v>6</v>
      </c>
      <c r="F19" s="10" t="s">
        <v>1266</v>
      </c>
    </row>
    <row r="20" spans="1:6" x14ac:dyDescent="0.35">
      <c r="A20" s="10" t="s">
        <v>1267</v>
      </c>
      <c r="B20" s="10" t="s">
        <v>1268</v>
      </c>
      <c r="C20" s="10" t="s">
        <v>1207</v>
      </c>
      <c r="D20" s="10" t="s">
        <v>1269</v>
      </c>
      <c r="E20" s="10">
        <v>5</v>
      </c>
      <c r="F20" s="10" t="s">
        <v>1270</v>
      </c>
    </row>
    <row r="21" spans="1:6" x14ac:dyDescent="0.35">
      <c r="A21" s="10" t="s">
        <v>1271</v>
      </c>
      <c r="B21" s="10" t="s">
        <v>1272</v>
      </c>
      <c r="C21" s="10" t="s">
        <v>1236</v>
      </c>
      <c r="D21" s="10" t="s">
        <v>1273</v>
      </c>
      <c r="E21" s="10">
        <v>4</v>
      </c>
      <c r="F21" s="10" t="s">
        <v>1274</v>
      </c>
    </row>
    <row r="22" spans="1:6" x14ac:dyDescent="0.35">
      <c r="A22" s="10" t="s">
        <v>1275</v>
      </c>
      <c r="B22" s="10" t="s">
        <v>1276</v>
      </c>
      <c r="C22" s="10" t="s">
        <v>1277</v>
      </c>
      <c r="D22" s="10" t="s">
        <v>1246</v>
      </c>
      <c r="E22" s="10"/>
      <c r="F22" s="10" t="s">
        <v>1278</v>
      </c>
    </row>
    <row r="23" spans="1:6" x14ac:dyDescent="0.35">
      <c r="A23" s="10" t="s">
        <v>1279</v>
      </c>
      <c r="B23" s="10" t="s">
        <v>1280</v>
      </c>
      <c r="C23" s="10" t="s">
        <v>1281</v>
      </c>
      <c r="D23" s="10" t="s">
        <v>1282</v>
      </c>
      <c r="E23" s="10">
        <v>8</v>
      </c>
      <c r="F23" s="10" t="s">
        <v>1283</v>
      </c>
    </row>
    <row r="24" spans="1:6" x14ac:dyDescent="0.35">
      <c r="A24" s="10" t="s">
        <v>1284</v>
      </c>
      <c r="B24" s="10" t="s">
        <v>1285</v>
      </c>
      <c r="C24" s="10" t="s">
        <v>1222</v>
      </c>
      <c r="D24" s="10" t="s">
        <v>1251</v>
      </c>
      <c r="E24" s="10">
        <v>4</v>
      </c>
      <c r="F24" s="10" t="s">
        <v>1286</v>
      </c>
    </row>
    <row r="25" spans="1:6" x14ac:dyDescent="0.35">
      <c r="A25" s="10" t="s">
        <v>1287</v>
      </c>
      <c r="B25" s="10" t="s">
        <v>1288</v>
      </c>
      <c r="C25" s="10" t="s">
        <v>1197</v>
      </c>
      <c r="D25" s="10" t="s">
        <v>1289</v>
      </c>
      <c r="E25" s="10">
        <v>6</v>
      </c>
      <c r="F25" s="10" t="s">
        <v>1290</v>
      </c>
    </row>
    <row r="26" spans="1:6" x14ac:dyDescent="0.35">
      <c r="A26" s="10" t="s">
        <v>1291</v>
      </c>
      <c r="B26" s="10" t="s">
        <v>1292</v>
      </c>
      <c r="C26" s="10" t="s">
        <v>1207</v>
      </c>
      <c r="D26" s="10" t="s">
        <v>1282</v>
      </c>
      <c r="E26" s="10">
        <v>7</v>
      </c>
      <c r="F26" s="10" t="s">
        <v>1293</v>
      </c>
    </row>
    <row r="27" spans="1:6" x14ac:dyDescent="0.35">
      <c r="A27" s="10" t="s">
        <v>1294</v>
      </c>
      <c r="B27" s="10" t="s">
        <v>1295</v>
      </c>
      <c r="C27" s="10" t="s">
        <v>1296</v>
      </c>
      <c r="D27" s="10" t="s">
        <v>1297</v>
      </c>
      <c r="E27" s="10">
        <v>3</v>
      </c>
      <c r="F27" s="10" t="s">
        <v>1298</v>
      </c>
    </row>
    <row r="28" spans="1:6" x14ac:dyDescent="0.35">
      <c r="A28" s="10" t="s">
        <v>1299</v>
      </c>
      <c r="B28" s="10" t="s">
        <v>1300</v>
      </c>
      <c r="C28" s="10" t="s">
        <v>1301</v>
      </c>
      <c r="D28" s="10" t="s">
        <v>1302</v>
      </c>
      <c r="E28" s="10">
        <v>5</v>
      </c>
      <c r="F28" s="10" t="s">
        <v>1303</v>
      </c>
    </row>
  </sheetData>
  <autoFilter ref="A3:F28" xr:uid="{00000000-0009-0000-0000-000016000000}"/>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43"/>
  <sheetViews>
    <sheetView showGridLines="0" workbookViewId="0">
      <pane ySplit="3" topLeftCell="A4" activePane="bottomLeft" state="frozen"/>
      <selection pane="bottomLeft"/>
    </sheetView>
  </sheetViews>
  <sheetFormatPr defaultRowHeight="14.5" x14ac:dyDescent="0.35"/>
  <cols>
    <col min="1" max="1" width="10" customWidth="1"/>
    <col min="2" max="2" width="13" customWidth="1"/>
    <col min="3" max="3" width="14" customWidth="1"/>
    <col min="4" max="4" width="12" customWidth="1"/>
    <col min="5" max="5" width="15" customWidth="1"/>
    <col min="6" max="6" width="16" customWidth="1"/>
    <col min="7" max="7" width="15" customWidth="1"/>
    <col min="8" max="8" width="11" customWidth="1"/>
    <col min="9" max="9" width="12" customWidth="1"/>
  </cols>
  <sheetData>
    <row r="1" spans="1:9" x14ac:dyDescent="0.35">
      <c r="A1" s="9" t="s">
        <v>1304</v>
      </c>
    </row>
    <row r="3" spans="1:9" x14ac:dyDescent="0.35">
      <c r="A3" s="7" t="s">
        <v>311</v>
      </c>
      <c r="B3" s="7" t="s">
        <v>307</v>
      </c>
      <c r="C3" s="7" t="s">
        <v>396</v>
      </c>
      <c r="D3" s="7" t="s">
        <v>1305</v>
      </c>
      <c r="E3" s="7" t="s">
        <v>407</v>
      </c>
      <c r="F3" s="7" t="s">
        <v>410</v>
      </c>
      <c r="G3" s="7" t="s">
        <v>414</v>
      </c>
      <c r="H3" s="7" t="s">
        <v>418</v>
      </c>
      <c r="I3" s="7" t="s">
        <v>421</v>
      </c>
    </row>
    <row r="4" spans="1:9" x14ac:dyDescent="0.35">
      <c r="A4" s="10" t="s">
        <v>1306</v>
      </c>
      <c r="B4" s="10" t="s">
        <v>1195</v>
      </c>
      <c r="C4" s="10" t="s">
        <v>395</v>
      </c>
      <c r="D4" s="10" t="s">
        <v>1307</v>
      </c>
      <c r="E4" s="10" t="s">
        <v>1308</v>
      </c>
      <c r="F4" s="10">
        <v>6000000</v>
      </c>
      <c r="G4" s="10">
        <v>6.8500000000000005E-2</v>
      </c>
      <c r="H4" s="10" t="s">
        <v>420</v>
      </c>
      <c r="I4" s="10" t="s">
        <v>424</v>
      </c>
    </row>
    <row r="5" spans="1:9" x14ac:dyDescent="0.35">
      <c r="A5" s="10" t="s">
        <v>1309</v>
      </c>
      <c r="B5" s="10" t="s">
        <v>1195</v>
      </c>
      <c r="C5" s="10" t="s">
        <v>659</v>
      </c>
      <c r="D5" s="10" t="s">
        <v>1310</v>
      </c>
      <c r="E5" s="10" t="s">
        <v>1311</v>
      </c>
      <c r="F5" s="10">
        <v>4000000</v>
      </c>
      <c r="G5" s="10">
        <v>7.3999999999999996E-2</v>
      </c>
      <c r="H5" s="10" t="s">
        <v>420</v>
      </c>
      <c r="I5" s="10" t="s">
        <v>424</v>
      </c>
    </row>
    <row r="6" spans="1:9" x14ac:dyDescent="0.35">
      <c r="A6" s="10" t="s">
        <v>1312</v>
      </c>
      <c r="B6" s="10" t="s">
        <v>1200</v>
      </c>
      <c r="C6" s="10" t="s">
        <v>659</v>
      </c>
      <c r="D6" s="10" t="s">
        <v>1313</v>
      </c>
      <c r="E6" s="10" t="s">
        <v>1314</v>
      </c>
      <c r="F6" s="10">
        <v>5000000</v>
      </c>
      <c r="G6" s="10">
        <v>7.5999999999999998E-2</v>
      </c>
      <c r="H6" s="10" t="s">
        <v>420</v>
      </c>
      <c r="I6" s="10" t="s">
        <v>424</v>
      </c>
    </row>
    <row r="7" spans="1:9" x14ac:dyDescent="0.35">
      <c r="A7" s="10" t="s">
        <v>1315</v>
      </c>
      <c r="B7" s="10" t="s">
        <v>1205</v>
      </c>
      <c r="C7" s="10" t="s">
        <v>661</v>
      </c>
      <c r="D7" s="10" t="s">
        <v>1316</v>
      </c>
      <c r="E7" s="10" t="s">
        <v>1317</v>
      </c>
      <c r="F7" s="10">
        <v>18000000</v>
      </c>
      <c r="G7" s="10">
        <v>5.2499999999999998E-2</v>
      </c>
      <c r="H7" s="10" t="s">
        <v>1318</v>
      </c>
      <c r="I7" s="10" t="s">
        <v>424</v>
      </c>
    </row>
    <row r="8" spans="1:9" x14ac:dyDescent="0.35">
      <c r="A8" s="10" t="s">
        <v>1319</v>
      </c>
      <c r="B8" s="10" t="s">
        <v>1210</v>
      </c>
      <c r="C8" s="10" t="s">
        <v>395</v>
      </c>
      <c r="D8" s="10" t="s">
        <v>1320</v>
      </c>
      <c r="E8" s="10" t="s">
        <v>1321</v>
      </c>
      <c r="F8" s="10">
        <v>3500000</v>
      </c>
      <c r="G8" s="10">
        <v>7.0999999999999994E-2</v>
      </c>
      <c r="H8" s="10" t="s">
        <v>1318</v>
      </c>
      <c r="I8" s="10" t="s">
        <v>424</v>
      </c>
    </row>
    <row r="9" spans="1:9" x14ac:dyDescent="0.35">
      <c r="A9" s="10" t="s">
        <v>1322</v>
      </c>
      <c r="B9" s="10" t="s">
        <v>1215</v>
      </c>
      <c r="C9" s="10" t="s">
        <v>659</v>
      </c>
      <c r="D9" s="10" t="s">
        <v>1323</v>
      </c>
      <c r="E9" s="10" t="s">
        <v>1324</v>
      </c>
      <c r="F9" s="10">
        <v>7500000</v>
      </c>
      <c r="G9" s="10">
        <v>6.9000000000000006E-2</v>
      </c>
      <c r="H9" s="10" t="s">
        <v>420</v>
      </c>
      <c r="I9" s="10" t="s">
        <v>424</v>
      </c>
    </row>
    <row r="10" spans="1:9" x14ac:dyDescent="0.35">
      <c r="A10" s="10" t="s">
        <v>1325</v>
      </c>
      <c r="B10" s="10" t="s">
        <v>1220</v>
      </c>
      <c r="C10" s="10" t="s">
        <v>662</v>
      </c>
      <c r="D10" s="10" t="s">
        <v>1326</v>
      </c>
      <c r="E10" s="10" t="s">
        <v>1327</v>
      </c>
      <c r="F10" s="10">
        <v>22000000</v>
      </c>
      <c r="G10" s="10">
        <v>4.7500000000000001E-2</v>
      </c>
      <c r="H10" s="10" t="s">
        <v>1318</v>
      </c>
      <c r="I10" s="10" t="s">
        <v>424</v>
      </c>
    </row>
    <row r="11" spans="1:9" x14ac:dyDescent="0.35">
      <c r="A11" s="10" t="s">
        <v>1328</v>
      </c>
      <c r="B11" s="10" t="s">
        <v>364</v>
      </c>
      <c r="C11" s="10" t="s">
        <v>659</v>
      </c>
      <c r="D11" s="10" t="s">
        <v>1329</v>
      </c>
      <c r="E11" s="10" t="s">
        <v>1330</v>
      </c>
      <c r="F11" s="10">
        <v>3000000</v>
      </c>
      <c r="G11" s="10">
        <v>7.7499999999999999E-2</v>
      </c>
      <c r="H11" s="10" t="s">
        <v>420</v>
      </c>
      <c r="I11" s="10" t="s">
        <v>424</v>
      </c>
    </row>
    <row r="12" spans="1:9" x14ac:dyDescent="0.35">
      <c r="A12" s="10" t="s">
        <v>1331</v>
      </c>
      <c r="B12" s="10" t="s">
        <v>1225</v>
      </c>
      <c r="C12" s="10" t="s">
        <v>664</v>
      </c>
      <c r="D12" s="10" t="s">
        <v>1332</v>
      </c>
      <c r="E12" s="10" t="s">
        <v>1333</v>
      </c>
      <c r="F12" s="10">
        <v>15000000</v>
      </c>
      <c r="G12" s="10">
        <v>5.6000000000000001E-2</v>
      </c>
      <c r="H12" s="10" t="s">
        <v>1318</v>
      </c>
      <c r="I12" s="10" t="s">
        <v>424</v>
      </c>
    </row>
    <row r="13" spans="1:9" x14ac:dyDescent="0.35">
      <c r="A13" s="10" t="s">
        <v>1334</v>
      </c>
      <c r="B13" s="10" t="s">
        <v>1229</v>
      </c>
      <c r="C13" s="10" t="s">
        <v>659</v>
      </c>
      <c r="D13" s="10" t="s">
        <v>1335</v>
      </c>
      <c r="E13" s="10" t="s">
        <v>1336</v>
      </c>
      <c r="F13" s="10">
        <v>4000000</v>
      </c>
      <c r="G13" s="10">
        <v>7.4999999999999997E-2</v>
      </c>
      <c r="H13" s="10" t="s">
        <v>420</v>
      </c>
      <c r="I13" s="10" t="s">
        <v>424</v>
      </c>
    </row>
    <row r="14" spans="1:9" x14ac:dyDescent="0.35">
      <c r="A14" s="10" t="s">
        <v>1337</v>
      </c>
      <c r="B14" s="10" t="s">
        <v>1234</v>
      </c>
      <c r="C14" s="10" t="s">
        <v>666</v>
      </c>
      <c r="D14" s="10" t="s">
        <v>1338</v>
      </c>
      <c r="E14" s="10" t="s">
        <v>1339</v>
      </c>
      <c r="F14" s="10">
        <v>20000000</v>
      </c>
      <c r="G14" s="10">
        <v>5.0999999999999997E-2</v>
      </c>
      <c r="H14" s="10" t="s">
        <v>1318</v>
      </c>
      <c r="I14" s="10" t="s">
        <v>424</v>
      </c>
    </row>
    <row r="15" spans="1:9" x14ac:dyDescent="0.35">
      <c r="A15" s="10" t="s">
        <v>391</v>
      </c>
      <c r="B15" s="10" t="s">
        <v>364</v>
      </c>
      <c r="C15" s="10" t="s">
        <v>395</v>
      </c>
      <c r="D15" s="10" t="s">
        <v>406</v>
      </c>
      <c r="E15" s="10" t="s">
        <v>409</v>
      </c>
      <c r="F15" s="10">
        <v>8000000</v>
      </c>
      <c r="G15" s="10">
        <v>7.2499999999999995E-2</v>
      </c>
      <c r="H15" s="10" t="s">
        <v>420</v>
      </c>
      <c r="I15" s="10" t="s">
        <v>424</v>
      </c>
    </row>
    <row r="16" spans="1:9" x14ac:dyDescent="0.35">
      <c r="A16" s="10" t="s">
        <v>1340</v>
      </c>
      <c r="B16" s="10" t="s">
        <v>1239</v>
      </c>
      <c r="C16" s="10" t="s">
        <v>395</v>
      </c>
      <c r="D16" s="10" t="s">
        <v>1341</v>
      </c>
      <c r="E16" s="10" t="s">
        <v>1342</v>
      </c>
      <c r="F16" s="10">
        <v>2500000</v>
      </c>
      <c r="G16" s="10">
        <v>8.1000000000000003E-2</v>
      </c>
      <c r="H16" s="10" t="s">
        <v>1318</v>
      </c>
      <c r="I16" s="10" t="s">
        <v>424</v>
      </c>
    </row>
    <row r="17" spans="1:9" x14ac:dyDescent="0.35">
      <c r="A17" s="10" t="s">
        <v>1343</v>
      </c>
      <c r="B17" s="10" t="s">
        <v>1244</v>
      </c>
      <c r="C17" s="10" t="s">
        <v>662</v>
      </c>
      <c r="D17" s="10" t="s">
        <v>1344</v>
      </c>
      <c r="E17" s="10" t="s">
        <v>1345</v>
      </c>
      <c r="F17" s="10">
        <v>16000000</v>
      </c>
      <c r="G17" s="10">
        <v>5.3999999999999999E-2</v>
      </c>
      <c r="H17" s="10" t="s">
        <v>1318</v>
      </c>
      <c r="I17" s="10" t="s">
        <v>424</v>
      </c>
    </row>
    <row r="18" spans="1:9" x14ac:dyDescent="0.35">
      <c r="A18" s="10" t="s">
        <v>1346</v>
      </c>
      <c r="B18" s="10" t="s">
        <v>1248</v>
      </c>
      <c r="C18" s="10" t="s">
        <v>659</v>
      </c>
      <c r="D18" s="10" t="s">
        <v>1347</v>
      </c>
      <c r="E18" s="10" t="s">
        <v>1348</v>
      </c>
      <c r="F18" s="10">
        <v>3000000</v>
      </c>
      <c r="G18" s="10">
        <v>7.2999999999999995E-2</v>
      </c>
      <c r="H18" s="10" t="s">
        <v>420</v>
      </c>
      <c r="I18" s="10" t="s">
        <v>424</v>
      </c>
    </row>
    <row r="19" spans="1:9" x14ac:dyDescent="0.35">
      <c r="A19" s="10" t="s">
        <v>1349</v>
      </c>
      <c r="B19" s="10" t="s">
        <v>1253</v>
      </c>
      <c r="C19" s="10" t="s">
        <v>395</v>
      </c>
      <c r="D19" s="10" t="s">
        <v>1350</v>
      </c>
      <c r="E19" s="10" t="s">
        <v>1351</v>
      </c>
      <c r="F19" s="10">
        <v>9000000</v>
      </c>
      <c r="G19" s="10">
        <v>6.6500000000000004E-2</v>
      </c>
      <c r="H19" s="10" t="s">
        <v>420</v>
      </c>
      <c r="I19" s="10" t="s">
        <v>424</v>
      </c>
    </row>
    <row r="20" spans="1:9" x14ac:dyDescent="0.35">
      <c r="A20" s="10" t="s">
        <v>1352</v>
      </c>
      <c r="B20" s="10" t="s">
        <v>1257</v>
      </c>
      <c r="C20" s="10" t="s">
        <v>664</v>
      </c>
      <c r="D20" s="10" t="s">
        <v>1353</v>
      </c>
      <c r="E20" s="10" t="s">
        <v>1354</v>
      </c>
      <c r="F20" s="10">
        <v>12000000</v>
      </c>
      <c r="G20" s="10">
        <v>6.0999999999999999E-2</v>
      </c>
      <c r="H20" s="10" t="s">
        <v>1318</v>
      </c>
      <c r="I20" s="10" t="s">
        <v>424</v>
      </c>
    </row>
    <row r="21" spans="1:9" x14ac:dyDescent="0.35">
      <c r="A21" s="10" t="s">
        <v>1355</v>
      </c>
      <c r="B21" s="10" t="s">
        <v>1262</v>
      </c>
      <c r="C21" s="10" t="s">
        <v>395</v>
      </c>
      <c r="D21" s="10" t="s">
        <v>1356</v>
      </c>
      <c r="E21" s="10" t="s">
        <v>1357</v>
      </c>
      <c r="F21" s="10">
        <v>5500000</v>
      </c>
      <c r="G21" s="10"/>
      <c r="H21" s="10" t="s">
        <v>1318</v>
      </c>
      <c r="I21" s="10" t="s">
        <v>424</v>
      </c>
    </row>
    <row r="22" spans="1:9" x14ac:dyDescent="0.35">
      <c r="A22" s="10" t="s">
        <v>1358</v>
      </c>
      <c r="B22" s="10" t="s">
        <v>1267</v>
      </c>
      <c r="C22" s="10" t="s">
        <v>661</v>
      </c>
      <c r="D22" s="10" t="s">
        <v>1359</v>
      </c>
      <c r="E22" s="10" t="s">
        <v>1360</v>
      </c>
      <c r="F22" s="10">
        <v>30000000</v>
      </c>
      <c r="G22" s="10">
        <v>4.9000000000000002E-2</v>
      </c>
      <c r="H22" s="10" t="s">
        <v>1318</v>
      </c>
      <c r="I22" s="10" t="s">
        <v>424</v>
      </c>
    </row>
    <row r="23" spans="1:9" x14ac:dyDescent="0.35">
      <c r="A23" s="10" t="s">
        <v>1361</v>
      </c>
      <c r="B23" s="10" t="s">
        <v>1271</v>
      </c>
      <c r="C23" s="10" t="s">
        <v>666</v>
      </c>
      <c r="D23" s="10" t="s">
        <v>1362</v>
      </c>
      <c r="E23" s="10" t="s">
        <v>1363</v>
      </c>
      <c r="F23" s="10">
        <v>14000000</v>
      </c>
      <c r="G23" s="10">
        <v>5.2999999999999999E-2</v>
      </c>
      <c r="H23" s="10" t="s">
        <v>1318</v>
      </c>
      <c r="I23" s="10" t="s">
        <v>424</v>
      </c>
    </row>
    <row r="24" spans="1:9" x14ac:dyDescent="0.35">
      <c r="A24" s="10" t="s">
        <v>1364</v>
      </c>
      <c r="B24" s="10" t="s">
        <v>1275</v>
      </c>
      <c r="C24" s="10" t="s">
        <v>395</v>
      </c>
      <c r="D24" s="10" t="s">
        <v>1365</v>
      </c>
      <c r="E24" s="10" t="s">
        <v>1366</v>
      </c>
      <c r="F24" s="10">
        <v>4500000</v>
      </c>
      <c r="G24" s="10">
        <v>7.0000000000000007E-2</v>
      </c>
      <c r="H24" s="10" t="s">
        <v>1318</v>
      </c>
      <c r="I24" s="10" t="s">
        <v>424</v>
      </c>
    </row>
    <row r="25" spans="1:9" x14ac:dyDescent="0.35">
      <c r="A25" s="10" t="s">
        <v>1367</v>
      </c>
      <c r="B25" s="10" t="s">
        <v>1279</v>
      </c>
      <c r="C25" s="10" t="s">
        <v>659</v>
      </c>
      <c r="D25" s="10" t="s">
        <v>1368</v>
      </c>
      <c r="E25" s="10" t="s">
        <v>1369</v>
      </c>
      <c r="F25" s="10">
        <v>6000000</v>
      </c>
      <c r="G25" s="10">
        <v>8.5000000000000006E-2</v>
      </c>
      <c r="H25" s="10" t="s">
        <v>420</v>
      </c>
      <c r="I25" s="10" t="s">
        <v>424</v>
      </c>
    </row>
    <row r="26" spans="1:9" x14ac:dyDescent="0.35">
      <c r="A26" s="10" t="s">
        <v>468</v>
      </c>
      <c r="B26" s="10" t="s">
        <v>1267</v>
      </c>
      <c r="C26" s="10" t="s">
        <v>661</v>
      </c>
      <c r="D26" s="10" t="s">
        <v>1370</v>
      </c>
      <c r="E26" s="10" t="s">
        <v>1371</v>
      </c>
      <c r="F26" s="10">
        <v>10000000</v>
      </c>
      <c r="G26" s="10">
        <v>7.9000000000000001E-2</v>
      </c>
      <c r="H26" s="10" t="s">
        <v>420</v>
      </c>
      <c r="I26" s="10" t="s">
        <v>1372</v>
      </c>
    </row>
    <row r="27" spans="1:9" x14ac:dyDescent="0.35">
      <c r="A27" s="10" t="s">
        <v>1373</v>
      </c>
      <c r="B27" s="10" t="s">
        <v>1284</v>
      </c>
      <c r="C27" s="10" t="s">
        <v>662</v>
      </c>
      <c r="D27" s="10" t="s">
        <v>1374</v>
      </c>
      <c r="E27" s="10" t="s">
        <v>1375</v>
      </c>
      <c r="F27" s="10">
        <v>12500000</v>
      </c>
      <c r="G27" s="10">
        <v>4.5999999999999999E-2</v>
      </c>
      <c r="H27" s="10" t="s">
        <v>1318</v>
      </c>
      <c r="I27" s="10" t="s">
        <v>424</v>
      </c>
    </row>
    <row r="28" spans="1:9" x14ac:dyDescent="0.35">
      <c r="A28" s="10" t="s">
        <v>1376</v>
      </c>
      <c r="B28" s="10" t="s">
        <v>1287</v>
      </c>
      <c r="C28" s="10" t="s">
        <v>395</v>
      </c>
      <c r="D28" s="10" t="s">
        <v>1377</v>
      </c>
      <c r="E28" s="10" t="s">
        <v>1378</v>
      </c>
      <c r="F28" s="10">
        <v>5000000</v>
      </c>
      <c r="G28" s="10">
        <v>7.1499999999999994E-2</v>
      </c>
      <c r="H28" s="10" t="s">
        <v>1318</v>
      </c>
      <c r="I28" s="10" t="s">
        <v>424</v>
      </c>
    </row>
    <row r="29" spans="1:9" x14ac:dyDescent="0.35">
      <c r="A29" s="10" t="s">
        <v>1379</v>
      </c>
      <c r="B29" s="10" t="s">
        <v>1291</v>
      </c>
      <c r="C29" s="10" t="s">
        <v>664</v>
      </c>
      <c r="D29" s="10" t="s">
        <v>1380</v>
      </c>
      <c r="E29" s="10" t="s">
        <v>1381</v>
      </c>
      <c r="F29" s="10">
        <v>9500000</v>
      </c>
      <c r="G29" s="10">
        <v>5.8999999999999997E-2</v>
      </c>
      <c r="H29" s="10" t="s">
        <v>1318</v>
      </c>
      <c r="I29" s="10" t="s">
        <v>424</v>
      </c>
    </row>
    <row r="30" spans="1:9" x14ac:dyDescent="0.35">
      <c r="A30" s="10" t="s">
        <v>1382</v>
      </c>
      <c r="B30" s="10" t="s">
        <v>1294</v>
      </c>
      <c r="C30" s="10" t="s">
        <v>659</v>
      </c>
      <c r="D30" s="10" t="s">
        <v>1383</v>
      </c>
      <c r="E30" s="10" t="s">
        <v>1384</v>
      </c>
      <c r="F30" s="10">
        <v>6500000</v>
      </c>
      <c r="G30" s="10">
        <v>6.8000000000000005E-2</v>
      </c>
      <c r="H30" s="10" t="s">
        <v>420</v>
      </c>
      <c r="I30" s="10" t="s">
        <v>424</v>
      </c>
    </row>
    <row r="31" spans="1:9" x14ac:dyDescent="0.35">
      <c r="A31" s="10" t="s">
        <v>1385</v>
      </c>
      <c r="B31" s="10" t="s">
        <v>1299</v>
      </c>
      <c r="C31" s="10" t="s">
        <v>395</v>
      </c>
      <c r="D31" s="10" t="s">
        <v>1386</v>
      </c>
      <c r="E31" s="10" t="s">
        <v>1387</v>
      </c>
      <c r="F31" s="10">
        <v>3800000</v>
      </c>
      <c r="G31" s="10">
        <v>7.0499999999999993E-2</v>
      </c>
      <c r="H31" s="10" t="s">
        <v>1318</v>
      </c>
      <c r="I31" s="10" t="s">
        <v>424</v>
      </c>
    </row>
    <row r="32" spans="1:9" x14ac:dyDescent="0.35">
      <c r="A32" s="10" t="s">
        <v>1388</v>
      </c>
      <c r="B32" s="10" t="s">
        <v>1200</v>
      </c>
      <c r="C32" s="10" t="s">
        <v>395</v>
      </c>
      <c r="D32" s="10" t="s">
        <v>1389</v>
      </c>
      <c r="E32" s="10" t="s">
        <v>1390</v>
      </c>
      <c r="F32" s="10">
        <v>4200000</v>
      </c>
      <c r="G32" s="10">
        <v>7.1999999999999995E-2</v>
      </c>
      <c r="H32" s="10" t="s">
        <v>1318</v>
      </c>
      <c r="I32" s="10" t="s">
        <v>424</v>
      </c>
    </row>
    <row r="33" spans="1:9" x14ac:dyDescent="0.35">
      <c r="A33" s="10" t="s">
        <v>449</v>
      </c>
      <c r="B33" s="10" t="s">
        <v>1239</v>
      </c>
      <c r="C33" s="10" t="s">
        <v>659</v>
      </c>
      <c r="D33" s="10" t="s">
        <v>1391</v>
      </c>
      <c r="E33" s="10" t="s">
        <v>1392</v>
      </c>
      <c r="F33" s="10">
        <v>2000000</v>
      </c>
      <c r="G33" s="10">
        <v>8.3000000000000004E-2</v>
      </c>
      <c r="H33" s="10" t="s">
        <v>420</v>
      </c>
      <c r="I33" s="10" t="s">
        <v>424</v>
      </c>
    </row>
    <row r="34" spans="1:9" x14ac:dyDescent="0.35">
      <c r="A34" s="10" t="s">
        <v>1393</v>
      </c>
      <c r="B34" s="10" t="s">
        <v>1205</v>
      </c>
      <c r="C34" s="10" t="s">
        <v>661</v>
      </c>
      <c r="D34" s="10" t="s">
        <v>1394</v>
      </c>
      <c r="E34" s="10" t="s">
        <v>1395</v>
      </c>
      <c r="F34" s="10">
        <v>11000000</v>
      </c>
      <c r="G34" s="10">
        <v>5.8000000000000003E-2</v>
      </c>
      <c r="H34" s="10" t="s">
        <v>1318</v>
      </c>
      <c r="I34" s="10" t="s">
        <v>424</v>
      </c>
    </row>
    <row r="35" spans="1:9" x14ac:dyDescent="0.35">
      <c r="A35" s="10" t="s">
        <v>1396</v>
      </c>
      <c r="B35" s="10" t="s">
        <v>1215</v>
      </c>
      <c r="C35" s="10" t="s">
        <v>395</v>
      </c>
      <c r="D35" s="10" t="s">
        <v>1397</v>
      </c>
      <c r="E35" s="10" t="s">
        <v>1398</v>
      </c>
      <c r="F35" s="10">
        <v>7000000</v>
      </c>
      <c r="G35" s="10">
        <v>6.7000000000000004E-2</v>
      </c>
      <c r="H35" s="10" t="s">
        <v>420</v>
      </c>
      <c r="I35" s="10" t="s">
        <v>424</v>
      </c>
    </row>
    <row r="36" spans="1:9" x14ac:dyDescent="0.35">
      <c r="A36" s="10" t="s">
        <v>1399</v>
      </c>
      <c r="B36" s="10" t="s">
        <v>1234</v>
      </c>
      <c r="C36" s="10" t="s">
        <v>666</v>
      </c>
      <c r="D36" s="10" t="s">
        <v>1400</v>
      </c>
      <c r="E36" s="10" t="s">
        <v>1401</v>
      </c>
      <c r="F36" s="10">
        <v>9000000</v>
      </c>
      <c r="G36" s="10">
        <v>6.2E-2</v>
      </c>
      <c r="H36" s="10" t="s">
        <v>1318</v>
      </c>
      <c r="I36" s="10" t="s">
        <v>424</v>
      </c>
    </row>
    <row r="37" spans="1:9" x14ac:dyDescent="0.35">
      <c r="A37" s="10" t="s">
        <v>1402</v>
      </c>
      <c r="B37" s="10" t="s">
        <v>1248</v>
      </c>
      <c r="C37" s="10" t="s">
        <v>395</v>
      </c>
      <c r="D37" s="10" t="s">
        <v>1403</v>
      </c>
      <c r="E37" s="10" t="s">
        <v>1404</v>
      </c>
      <c r="F37" s="10">
        <v>2800000</v>
      </c>
      <c r="G37" s="10">
        <v>7.3499999999999996E-2</v>
      </c>
      <c r="H37" s="10" t="s">
        <v>1318</v>
      </c>
      <c r="I37" s="10" t="s">
        <v>424</v>
      </c>
    </row>
    <row r="38" spans="1:9" x14ac:dyDescent="0.35">
      <c r="A38" s="10" t="s">
        <v>1405</v>
      </c>
      <c r="B38" s="10" t="s">
        <v>1257</v>
      </c>
      <c r="C38" s="10" t="s">
        <v>659</v>
      </c>
      <c r="D38" s="10" t="s">
        <v>1406</v>
      </c>
      <c r="E38" s="10" t="s">
        <v>1407</v>
      </c>
      <c r="F38" s="10">
        <v>3500000</v>
      </c>
      <c r="G38" s="10">
        <v>8.2000000000000003E-2</v>
      </c>
      <c r="H38" s="10" t="s">
        <v>420</v>
      </c>
      <c r="I38" s="10" t="s">
        <v>424</v>
      </c>
    </row>
    <row r="39" spans="1:9" x14ac:dyDescent="0.35">
      <c r="A39" s="10" t="s">
        <v>1408</v>
      </c>
      <c r="B39" s="10" t="s">
        <v>1244</v>
      </c>
      <c r="C39" s="10" t="s">
        <v>662</v>
      </c>
      <c r="D39" s="10" t="s">
        <v>1409</v>
      </c>
      <c r="E39" s="10" t="s">
        <v>1410</v>
      </c>
      <c r="F39" s="10">
        <v>13000000</v>
      </c>
      <c r="G39" s="10">
        <v>0.06</v>
      </c>
      <c r="H39" s="10" t="s">
        <v>1318</v>
      </c>
      <c r="I39" s="10" t="s">
        <v>424</v>
      </c>
    </row>
    <row r="40" spans="1:9" x14ac:dyDescent="0.35">
      <c r="A40" s="10" t="s">
        <v>1411</v>
      </c>
      <c r="B40" s="10" t="s">
        <v>1287</v>
      </c>
      <c r="C40" s="10" t="s">
        <v>659</v>
      </c>
      <c r="D40" s="10" t="s">
        <v>1412</v>
      </c>
      <c r="E40" s="10" t="s">
        <v>1413</v>
      </c>
      <c r="F40" s="10">
        <v>2500000</v>
      </c>
      <c r="G40" s="10">
        <v>7.5999999999999998E-2</v>
      </c>
      <c r="H40" s="10" t="s">
        <v>420</v>
      </c>
      <c r="I40" s="10" t="s">
        <v>424</v>
      </c>
    </row>
    <row r="41" spans="1:9" x14ac:dyDescent="0.35">
      <c r="A41" s="10" t="s">
        <v>1414</v>
      </c>
      <c r="B41" s="10" t="s">
        <v>1415</v>
      </c>
      <c r="C41" s="10" t="s">
        <v>395</v>
      </c>
      <c r="D41" s="10" t="s">
        <v>1416</v>
      </c>
      <c r="E41" s="10" t="s">
        <v>1417</v>
      </c>
      <c r="F41" s="10">
        <v>3200000</v>
      </c>
      <c r="G41" s="10">
        <v>7.4499999999999997E-2</v>
      </c>
      <c r="H41" s="10" t="s">
        <v>420</v>
      </c>
      <c r="I41" s="10" t="s">
        <v>424</v>
      </c>
    </row>
    <row r="42" spans="1:9" x14ac:dyDescent="0.35">
      <c r="A42" s="10" t="s">
        <v>1418</v>
      </c>
      <c r="B42" s="10" t="s">
        <v>1294</v>
      </c>
      <c r="C42" s="10" t="s">
        <v>395</v>
      </c>
      <c r="D42" s="10" t="s">
        <v>1419</v>
      </c>
      <c r="E42" s="10" t="s">
        <v>1420</v>
      </c>
      <c r="F42" s="10">
        <v>5200000</v>
      </c>
      <c r="G42" s="10">
        <v>6.5500000000000003E-2</v>
      </c>
      <c r="H42" s="10" t="s">
        <v>1318</v>
      </c>
      <c r="I42" s="10" t="s">
        <v>424</v>
      </c>
    </row>
    <row r="43" spans="1:9" x14ac:dyDescent="0.35">
      <c r="A43" s="10" t="s">
        <v>1421</v>
      </c>
      <c r="B43" s="10" t="s">
        <v>1284</v>
      </c>
      <c r="C43" s="10" t="s">
        <v>662</v>
      </c>
      <c r="D43" s="10" t="s">
        <v>1422</v>
      </c>
      <c r="E43" s="10" t="s">
        <v>1423</v>
      </c>
      <c r="F43" s="10">
        <v>8500000</v>
      </c>
      <c r="G43" s="10">
        <v>6.3E-2</v>
      </c>
      <c r="H43" s="10" t="s">
        <v>1318</v>
      </c>
      <c r="I43" s="10" t="s">
        <v>424</v>
      </c>
    </row>
  </sheetData>
  <autoFilter ref="A3:I43" xr:uid="{00000000-0009-0000-0000-000017000000}"/>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44"/>
  <sheetViews>
    <sheetView showGridLines="0" workbookViewId="0">
      <pane ySplit="3" topLeftCell="A4" activePane="bottomLeft" state="frozen"/>
      <selection pane="bottomLeft"/>
    </sheetView>
  </sheetViews>
  <sheetFormatPr defaultRowHeight="14.5" x14ac:dyDescent="0.35"/>
  <cols>
    <col min="1" max="1" width="10" customWidth="1"/>
    <col min="2" max="2" width="12" customWidth="1"/>
    <col min="3" max="3" width="17" customWidth="1"/>
    <col min="4" max="4" width="15" customWidth="1"/>
    <col min="5" max="5" width="12" customWidth="1"/>
  </cols>
  <sheetData>
    <row r="1" spans="1:5" x14ac:dyDescent="0.35">
      <c r="A1" s="9" t="s">
        <v>1424</v>
      </c>
    </row>
    <row r="3" spans="1:5" x14ac:dyDescent="0.35">
      <c r="A3" s="7" t="s">
        <v>311</v>
      </c>
      <c r="B3" s="7" t="s">
        <v>429</v>
      </c>
      <c r="C3" s="7" t="s">
        <v>432</v>
      </c>
      <c r="D3" s="7" t="s">
        <v>438</v>
      </c>
      <c r="E3" s="7" t="s">
        <v>442</v>
      </c>
    </row>
    <row r="4" spans="1:5" x14ac:dyDescent="0.35">
      <c r="A4" s="10" t="s">
        <v>1306</v>
      </c>
      <c r="B4" s="10" t="s">
        <v>431</v>
      </c>
      <c r="C4" s="10">
        <v>4200000</v>
      </c>
      <c r="D4" s="10">
        <v>0</v>
      </c>
      <c r="E4" s="10" t="s">
        <v>444</v>
      </c>
    </row>
    <row r="5" spans="1:5" x14ac:dyDescent="0.35">
      <c r="A5" s="10" t="s">
        <v>1309</v>
      </c>
      <c r="B5" s="10" t="s">
        <v>431</v>
      </c>
      <c r="C5" s="10">
        <v>2600000</v>
      </c>
      <c r="D5" s="10">
        <v>0</v>
      </c>
      <c r="E5" s="10" t="s">
        <v>444</v>
      </c>
    </row>
    <row r="6" spans="1:5" x14ac:dyDescent="0.35">
      <c r="A6" s="10" t="s">
        <v>1312</v>
      </c>
      <c r="B6" s="10" t="s">
        <v>431</v>
      </c>
      <c r="C6" s="10">
        <v>3100000</v>
      </c>
      <c r="D6" s="10">
        <v>0</v>
      </c>
      <c r="E6" s="10" t="s">
        <v>444</v>
      </c>
    </row>
    <row r="7" spans="1:5" x14ac:dyDescent="0.35">
      <c r="A7" s="10" t="s">
        <v>1315</v>
      </c>
      <c r="B7" s="10" t="s">
        <v>431</v>
      </c>
      <c r="C7" s="10">
        <v>16200000</v>
      </c>
      <c r="D7" s="10">
        <v>0</v>
      </c>
      <c r="E7" s="10" t="s">
        <v>1425</v>
      </c>
    </row>
    <row r="8" spans="1:5" x14ac:dyDescent="0.35">
      <c r="A8" s="10" t="s">
        <v>1319</v>
      </c>
      <c r="B8" s="10" t="s">
        <v>431</v>
      </c>
      <c r="C8" s="10">
        <v>2150000</v>
      </c>
      <c r="D8" s="10">
        <v>0</v>
      </c>
      <c r="E8" s="10" t="s">
        <v>444</v>
      </c>
    </row>
    <row r="9" spans="1:5" x14ac:dyDescent="0.35">
      <c r="A9" s="10" t="s">
        <v>1322</v>
      </c>
      <c r="B9" s="10" t="s">
        <v>431</v>
      </c>
      <c r="C9" s="10">
        <v>3900000</v>
      </c>
      <c r="D9" s="10">
        <v>0</v>
      </c>
      <c r="E9" s="10" t="s">
        <v>444</v>
      </c>
    </row>
    <row r="10" spans="1:5" x14ac:dyDescent="0.35">
      <c r="A10" s="10" t="s">
        <v>1325</v>
      </c>
      <c r="B10" s="10" t="s">
        <v>431</v>
      </c>
      <c r="C10" s="10">
        <v>19800000</v>
      </c>
      <c r="D10" s="10">
        <v>0</v>
      </c>
      <c r="E10" s="10" t="s">
        <v>1425</v>
      </c>
    </row>
    <row r="11" spans="1:5" x14ac:dyDescent="0.35">
      <c r="A11" s="10" t="s">
        <v>1328</v>
      </c>
      <c r="B11" s="10" t="s">
        <v>431</v>
      </c>
      <c r="C11" s="10">
        <v>2750000</v>
      </c>
      <c r="D11" s="10">
        <v>0</v>
      </c>
      <c r="E11" s="10" t="s">
        <v>444</v>
      </c>
    </row>
    <row r="12" spans="1:5" x14ac:dyDescent="0.35">
      <c r="A12" s="10" t="s">
        <v>1331</v>
      </c>
      <c r="B12" s="10" t="s">
        <v>431</v>
      </c>
      <c r="C12" s="10">
        <v>13100000</v>
      </c>
      <c r="D12" s="10">
        <v>0</v>
      </c>
      <c r="E12" s="10" t="s">
        <v>1425</v>
      </c>
    </row>
    <row r="13" spans="1:5" x14ac:dyDescent="0.35">
      <c r="A13" s="10" t="s">
        <v>1334</v>
      </c>
      <c r="B13" s="10" t="s">
        <v>431</v>
      </c>
      <c r="C13" s="10">
        <v>4350000</v>
      </c>
      <c r="D13" s="10">
        <v>0</v>
      </c>
      <c r="E13" s="10" t="s">
        <v>444</v>
      </c>
    </row>
    <row r="14" spans="1:5" x14ac:dyDescent="0.35">
      <c r="A14" s="10" t="s">
        <v>1337</v>
      </c>
      <c r="B14" s="10" t="s">
        <v>431</v>
      </c>
      <c r="C14" s="10">
        <v>18300000</v>
      </c>
      <c r="D14" s="10">
        <v>0</v>
      </c>
      <c r="E14" s="10" t="s">
        <v>1425</v>
      </c>
    </row>
    <row r="15" spans="1:5" x14ac:dyDescent="0.35">
      <c r="A15" s="10" t="s">
        <v>391</v>
      </c>
      <c r="B15" s="10" t="s">
        <v>431</v>
      </c>
      <c r="C15" s="10">
        <v>6250000</v>
      </c>
      <c r="D15" s="10">
        <v>0</v>
      </c>
      <c r="E15" s="10" t="s">
        <v>444</v>
      </c>
    </row>
    <row r="16" spans="1:5" x14ac:dyDescent="0.35">
      <c r="A16" s="10" t="s">
        <v>1340</v>
      </c>
      <c r="B16" s="10" t="s">
        <v>431</v>
      </c>
      <c r="C16" s="10">
        <v>650000</v>
      </c>
      <c r="D16" s="10">
        <v>35</v>
      </c>
      <c r="E16" s="10" t="s">
        <v>444</v>
      </c>
    </row>
    <row r="17" spans="1:5" x14ac:dyDescent="0.35">
      <c r="A17" s="10" t="s">
        <v>1343</v>
      </c>
      <c r="B17" s="10" t="s">
        <v>431</v>
      </c>
      <c r="C17" s="10">
        <v>15400000</v>
      </c>
      <c r="D17" s="10">
        <v>0</v>
      </c>
      <c r="E17" s="10" t="s">
        <v>1425</v>
      </c>
    </row>
    <row r="18" spans="1:5" x14ac:dyDescent="0.35">
      <c r="A18" s="10" t="s">
        <v>1346</v>
      </c>
      <c r="B18" s="10" t="s">
        <v>431</v>
      </c>
      <c r="C18" s="10">
        <v>1800000</v>
      </c>
      <c r="D18" s="10">
        <v>0</v>
      </c>
      <c r="E18" s="10" t="s">
        <v>444</v>
      </c>
    </row>
    <row r="19" spans="1:5" x14ac:dyDescent="0.35">
      <c r="A19" s="10" t="s">
        <v>1349</v>
      </c>
      <c r="B19" s="10" t="s">
        <v>431</v>
      </c>
      <c r="C19" s="10">
        <v>8600000</v>
      </c>
      <c r="D19" s="10">
        <v>0</v>
      </c>
      <c r="E19" s="10" t="s">
        <v>444</v>
      </c>
    </row>
    <row r="20" spans="1:5" x14ac:dyDescent="0.35">
      <c r="A20" s="10" t="s">
        <v>1352</v>
      </c>
      <c r="B20" s="10" t="s">
        <v>431</v>
      </c>
      <c r="C20" s="10">
        <v>11200000</v>
      </c>
      <c r="D20" s="10">
        <v>0</v>
      </c>
      <c r="E20" s="10" t="s">
        <v>1425</v>
      </c>
    </row>
    <row r="21" spans="1:5" x14ac:dyDescent="0.35">
      <c r="A21" s="10" t="s">
        <v>1355</v>
      </c>
      <c r="B21" s="10" t="s">
        <v>431</v>
      </c>
      <c r="C21" s="10">
        <v>3300000</v>
      </c>
      <c r="D21" s="10">
        <v>0</v>
      </c>
      <c r="E21" s="10" t="s">
        <v>444</v>
      </c>
    </row>
    <row r="22" spans="1:5" x14ac:dyDescent="0.35">
      <c r="A22" s="10" t="s">
        <v>1358</v>
      </c>
      <c r="B22" s="10" t="s">
        <v>431</v>
      </c>
      <c r="C22" s="10">
        <v>27500000</v>
      </c>
      <c r="D22" s="10">
        <v>0</v>
      </c>
      <c r="E22" s="10" t="s">
        <v>1425</v>
      </c>
    </row>
    <row r="23" spans="1:5" x14ac:dyDescent="0.35">
      <c r="A23" s="10" t="s">
        <v>1361</v>
      </c>
      <c r="B23" s="10" t="s">
        <v>431</v>
      </c>
      <c r="C23" s="10">
        <v>13300000</v>
      </c>
      <c r="D23" s="10">
        <v>0</v>
      </c>
      <c r="E23" s="10" t="s">
        <v>1425</v>
      </c>
    </row>
    <row r="24" spans="1:5" x14ac:dyDescent="0.35">
      <c r="A24" s="10" t="s">
        <v>1364</v>
      </c>
      <c r="B24" s="10" t="s">
        <v>431</v>
      </c>
      <c r="C24" s="10">
        <v>-2250000</v>
      </c>
      <c r="D24" s="10">
        <v>0</v>
      </c>
      <c r="E24" s="10" t="s">
        <v>444</v>
      </c>
    </row>
    <row r="25" spans="1:5" x14ac:dyDescent="0.35">
      <c r="A25" s="10" t="s">
        <v>1367</v>
      </c>
      <c r="B25" s="10" t="s">
        <v>431</v>
      </c>
      <c r="C25" s="10">
        <v>5400000</v>
      </c>
      <c r="D25" s="10">
        <v>62</v>
      </c>
      <c r="E25" s="10" t="s">
        <v>444</v>
      </c>
    </row>
    <row r="26" spans="1:5" x14ac:dyDescent="0.35">
      <c r="A26" s="10" t="s">
        <v>468</v>
      </c>
      <c r="B26" s="10" t="s">
        <v>431</v>
      </c>
      <c r="C26" s="10">
        <v>7800000</v>
      </c>
      <c r="D26" s="10">
        <v>0</v>
      </c>
      <c r="E26" s="10" t="s">
        <v>1425</v>
      </c>
    </row>
    <row r="27" spans="1:5" x14ac:dyDescent="0.35">
      <c r="A27" s="10" t="s">
        <v>1373</v>
      </c>
      <c r="B27" s="10" t="s">
        <v>431</v>
      </c>
      <c r="C27" s="10">
        <v>11100000</v>
      </c>
      <c r="D27" s="10">
        <v>0</v>
      </c>
      <c r="E27" s="10" t="s">
        <v>1425</v>
      </c>
    </row>
    <row r="28" spans="1:5" x14ac:dyDescent="0.35">
      <c r="A28" s="10" t="s">
        <v>1376</v>
      </c>
      <c r="B28" s="10" t="s">
        <v>431</v>
      </c>
      <c r="C28" s="10">
        <v>3900000</v>
      </c>
      <c r="D28" s="10">
        <v>0</v>
      </c>
      <c r="E28" s="10" t="s">
        <v>444</v>
      </c>
    </row>
    <row r="29" spans="1:5" x14ac:dyDescent="0.35">
      <c r="A29" s="10" t="s">
        <v>1376</v>
      </c>
      <c r="B29" s="10" t="s">
        <v>431</v>
      </c>
      <c r="C29" s="10">
        <v>3900000</v>
      </c>
      <c r="D29" s="10">
        <v>0</v>
      </c>
      <c r="E29" s="10" t="s">
        <v>444</v>
      </c>
    </row>
    <row r="30" spans="1:5" x14ac:dyDescent="0.35">
      <c r="A30" s="10" t="s">
        <v>1379</v>
      </c>
      <c r="B30" s="10" t="s">
        <v>431</v>
      </c>
      <c r="C30" s="10">
        <v>8800000</v>
      </c>
      <c r="D30" s="10">
        <v>0</v>
      </c>
      <c r="E30" s="10" t="s">
        <v>1425</v>
      </c>
    </row>
    <row r="31" spans="1:5" x14ac:dyDescent="0.35">
      <c r="A31" s="10" t="s">
        <v>1382</v>
      </c>
      <c r="B31" s="10" t="s">
        <v>431</v>
      </c>
      <c r="C31" s="10">
        <v>2200000</v>
      </c>
      <c r="D31" s="10">
        <v>0</v>
      </c>
      <c r="E31" s="10" t="s">
        <v>444</v>
      </c>
    </row>
    <row r="32" spans="1:5" x14ac:dyDescent="0.35">
      <c r="A32" s="10" t="s">
        <v>1385</v>
      </c>
      <c r="B32" s="10" t="s">
        <v>431</v>
      </c>
      <c r="C32" s="10">
        <v>1900000</v>
      </c>
      <c r="D32" s="10">
        <v>0</v>
      </c>
      <c r="E32" s="10" t="s">
        <v>444</v>
      </c>
    </row>
    <row r="33" spans="1:5" x14ac:dyDescent="0.35">
      <c r="A33" s="10" t="s">
        <v>1388</v>
      </c>
      <c r="B33" s="10" t="s">
        <v>431</v>
      </c>
      <c r="C33" s="10">
        <v>3600000</v>
      </c>
      <c r="D33" s="10">
        <v>64</v>
      </c>
      <c r="E33" s="10" t="s">
        <v>444</v>
      </c>
    </row>
    <row r="34" spans="1:5" x14ac:dyDescent="0.35">
      <c r="A34" s="10" t="s">
        <v>449</v>
      </c>
      <c r="B34" s="10" t="s">
        <v>431</v>
      </c>
      <c r="C34" s="10">
        <v>1950000</v>
      </c>
      <c r="D34" s="10">
        <v>95</v>
      </c>
      <c r="E34" s="10" t="s">
        <v>444</v>
      </c>
    </row>
    <row r="35" spans="1:5" x14ac:dyDescent="0.35">
      <c r="A35" s="10" t="s">
        <v>1393</v>
      </c>
      <c r="B35" s="10" t="s">
        <v>431</v>
      </c>
      <c r="C35" s="10">
        <v>10600000</v>
      </c>
      <c r="D35" s="10">
        <v>0</v>
      </c>
      <c r="E35" s="10" t="s">
        <v>1425</v>
      </c>
    </row>
    <row r="36" spans="1:5" x14ac:dyDescent="0.35">
      <c r="A36" s="10" t="s">
        <v>1396</v>
      </c>
      <c r="B36" s="10" t="s">
        <v>431</v>
      </c>
      <c r="C36" s="10">
        <v>6400000</v>
      </c>
      <c r="D36" s="10">
        <v>0</v>
      </c>
      <c r="E36" s="10" t="s">
        <v>444</v>
      </c>
    </row>
    <row r="37" spans="1:5" x14ac:dyDescent="0.35">
      <c r="A37" s="10" t="s">
        <v>1402</v>
      </c>
      <c r="B37" s="10" t="s">
        <v>431</v>
      </c>
      <c r="C37" s="10">
        <v>1500000</v>
      </c>
      <c r="D37" s="10">
        <v>0</v>
      </c>
      <c r="E37" s="10" t="s">
        <v>444</v>
      </c>
    </row>
    <row r="38" spans="1:5" x14ac:dyDescent="0.35">
      <c r="A38" s="10" t="s">
        <v>1405</v>
      </c>
      <c r="B38" s="10" t="s">
        <v>431</v>
      </c>
      <c r="C38" s="10">
        <v>3100000</v>
      </c>
      <c r="D38" s="10">
        <v>31</v>
      </c>
      <c r="E38" s="10" t="s">
        <v>444</v>
      </c>
    </row>
    <row r="39" spans="1:5" x14ac:dyDescent="0.35">
      <c r="A39" s="10" t="s">
        <v>1408</v>
      </c>
      <c r="B39" s="10" t="s">
        <v>431</v>
      </c>
      <c r="C39" s="10">
        <v>12800000</v>
      </c>
      <c r="D39" s="10">
        <v>0</v>
      </c>
      <c r="E39" s="10" t="s">
        <v>1425</v>
      </c>
    </row>
    <row r="40" spans="1:5" x14ac:dyDescent="0.35">
      <c r="A40" s="10" t="s">
        <v>1411</v>
      </c>
      <c r="B40" s="10" t="s">
        <v>431</v>
      </c>
      <c r="C40" s="10">
        <v>900000</v>
      </c>
      <c r="D40" s="10">
        <v>0</v>
      </c>
      <c r="E40" s="10" t="s">
        <v>444</v>
      </c>
    </row>
    <row r="41" spans="1:5" x14ac:dyDescent="0.35">
      <c r="A41" s="10" t="s">
        <v>1414</v>
      </c>
      <c r="B41" s="10" t="s">
        <v>431</v>
      </c>
      <c r="C41" s="10">
        <v>3000000</v>
      </c>
      <c r="D41" s="10">
        <v>0</v>
      </c>
      <c r="E41" s="10" t="s">
        <v>444</v>
      </c>
    </row>
    <row r="42" spans="1:5" x14ac:dyDescent="0.35">
      <c r="A42" s="10" t="s">
        <v>1418</v>
      </c>
      <c r="B42" s="10" t="s">
        <v>431</v>
      </c>
      <c r="C42" s="10">
        <v>3800000</v>
      </c>
      <c r="D42" s="10">
        <v>0</v>
      </c>
      <c r="E42" s="10" t="s">
        <v>444</v>
      </c>
    </row>
    <row r="43" spans="1:5" x14ac:dyDescent="0.35">
      <c r="A43" s="10" t="s">
        <v>1421</v>
      </c>
      <c r="B43" s="10" t="s">
        <v>431</v>
      </c>
      <c r="C43" s="10">
        <v>8450000</v>
      </c>
      <c r="D43" s="10">
        <v>0</v>
      </c>
      <c r="E43" s="10" t="s">
        <v>1425</v>
      </c>
    </row>
    <row r="44" spans="1:5" x14ac:dyDescent="0.35">
      <c r="A44" s="10" t="s">
        <v>1426</v>
      </c>
      <c r="B44" s="10" t="s">
        <v>431</v>
      </c>
      <c r="C44" s="10">
        <v>2400000</v>
      </c>
      <c r="D44" s="10">
        <v>0</v>
      </c>
      <c r="E44" s="10" t="s">
        <v>444</v>
      </c>
    </row>
  </sheetData>
  <autoFilter ref="A3:E44" xr:uid="{00000000-0009-0000-0000-000018000000}"/>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54"/>
  <sheetViews>
    <sheetView showGridLines="0" workbookViewId="0">
      <pane ySplit="3" topLeftCell="A4" activePane="bottomLeft" state="frozen"/>
      <selection pane="bottomLeft"/>
    </sheetView>
  </sheetViews>
  <sheetFormatPr defaultRowHeight="14.5" x14ac:dyDescent="0.35"/>
  <cols>
    <col min="1" max="1" width="16" customWidth="1"/>
    <col min="2" max="2" width="10" customWidth="1"/>
    <col min="3" max="3" width="13" customWidth="1"/>
    <col min="4" max="4" width="16" customWidth="1"/>
    <col min="5" max="5" width="21" customWidth="1"/>
  </cols>
  <sheetData>
    <row r="1" spans="1:5" x14ac:dyDescent="0.35">
      <c r="A1" s="9" t="s">
        <v>1427</v>
      </c>
    </row>
    <row r="3" spans="1:5" x14ac:dyDescent="0.35">
      <c r="A3" s="7" t="s">
        <v>319</v>
      </c>
      <c r="B3" s="7" t="s">
        <v>311</v>
      </c>
      <c r="C3" s="7" t="s">
        <v>453</v>
      </c>
      <c r="D3" s="7" t="s">
        <v>457</v>
      </c>
      <c r="E3" s="7" t="s">
        <v>460</v>
      </c>
    </row>
    <row r="4" spans="1:5" x14ac:dyDescent="0.35">
      <c r="A4" s="10">
        <v>50001</v>
      </c>
      <c r="B4" s="10" t="s">
        <v>1306</v>
      </c>
      <c r="C4" s="10" t="s">
        <v>1428</v>
      </c>
      <c r="D4" s="10" t="s">
        <v>1307</v>
      </c>
      <c r="E4" s="10" t="s">
        <v>1429</v>
      </c>
    </row>
    <row r="5" spans="1:5" x14ac:dyDescent="0.35">
      <c r="A5" s="10">
        <v>50002</v>
      </c>
      <c r="B5" s="10" t="s">
        <v>1309</v>
      </c>
      <c r="C5" s="10" t="s">
        <v>1428</v>
      </c>
      <c r="D5" s="10" t="s">
        <v>1310</v>
      </c>
      <c r="E5" s="10" t="s">
        <v>1430</v>
      </c>
    </row>
    <row r="6" spans="1:5" x14ac:dyDescent="0.35">
      <c r="A6" s="10">
        <v>50003</v>
      </c>
      <c r="B6" s="10" t="s">
        <v>1312</v>
      </c>
      <c r="C6" s="10" t="s">
        <v>1428</v>
      </c>
      <c r="D6" s="10" t="s">
        <v>1313</v>
      </c>
      <c r="E6" s="10" t="s">
        <v>1431</v>
      </c>
    </row>
    <row r="7" spans="1:5" x14ac:dyDescent="0.35">
      <c r="A7" s="10">
        <v>50004</v>
      </c>
      <c r="B7" s="10" t="s">
        <v>1315</v>
      </c>
      <c r="C7" s="10" t="s">
        <v>1428</v>
      </c>
      <c r="D7" s="10" t="s">
        <v>1316</v>
      </c>
      <c r="E7" s="10" t="s">
        <v>1432</v>
      </c>
    </row>
    <row r="8" spans="1:5" x14ac:dyDescent="0.35">
      <c r="A8" s="10">
        <v>50005</v>
      </c>
      <c r="B8" s="10" t="s">
        <v>1319</v>
      </c>
      <c r="C8" s="10" t="s">
        <v>1428</v>
      </c>
      <c r="D8" s="10" t="s">
        <v>1320</v>
      </c>
      <c r="E8" s="10" t="s">
        <v>1433</v>
      </c>
    </row>
    <row r="9" spans="1:5" x14ac:dyDescent="0.35">
      <c r="A9" s="10">
        <v>50006</v>
      </c>
      <c r="B9" s="10" t="s">
        <v>1322</v>
      </c>
      <c r="C9" s="10" t="s">
        <v>1428</v>
      </c>
      <c r="D9" s="10" t="s">
        <v>1323</v>
      </c>
      <c r="E9" s="10" t="s">
        <v>1434</v>
      </c>
    </row>
    <row r="10" spans="1:5" x14ac:dyDescent="0.35">
      <c r="A10" s="10">
        <v>50007</v>
      </c>
      <c r="B10" s="10" t="s">
        <v>1325</v>
      </c>
      <c r="C10" s="10" t="s">
        <v>1428</v>
      </c>
      <c r="D10" s="10" t="s">
        <v>1326</v>
      </c>
      <c r="E10" s="10" t="s">
        <v>1435</v>
      </c>
    </row>
    <row r="11" spans="1:5" x14ac:dyDescent="0.35">
      <c r="A11" s="10">
        <v>50008</v>
      </c>
      <c r="B11" s="10" t="s">
        <v>1328</v>
      </c>
      <c r="C11" s="10" t="s">
        <v>1428</v>
      </c>
      <c r="D11" s="10" t="s">
        <v>1329</v>
      </c>
      <c r="E11" s="10" t="s">
        <v>1436</v>
      </c>
    </row>
    <row r="12" spans="1:5" x14ac:dyDescent="0.35">
      <c r="A12" s="10">
        <v>50009</v>
      </c>
      <c r="B12" s="10" t="s">
        <v>1331</v>
      </c>
      <c r="C12" s="10" t="s">
        <v>1428</v>
      </c>
      <c r="D12" s="10" t="s">
        <v>1332</v>
      </c>
      <c r="E12" s="10" t="s">
        <v>1437</v>
      </c>
    </row>
    <row r="13" spans="1:5" x14ac:dyDescent="0.35">
      <c r="A13" s="10">
        <v>50010</v>
      </c>
      <c r="B13" s="10" t="s">
        <v>1334</v>
      </c>
      <c r="C13" s="10" t="s">
        <v>1428</v>
      </c>
      <c r="D13" s="10" t="s">
        <v>1335</v>
      </c>
      <c r="E13" s="10" t="s">
        <v>1438</v>
      </c>
    </row>
    <row r="14" spans="1:5" x14ac:dyDescent="0.35">
      <c r="A14" s="10">
        <v>50011</v>
      </c>
      <c r="B14" s="10" t="s">
        <v>1337</v>
      </c>
      <c r="C14" s="10" t="s">
        <v>1428</v>
      </c>
      <c r="D14" s="10" t="s">
        <v>1338</v>
      </c>
      <c r="E14" s="10" t="s">
        <v>1439</v>
      </c>
    </row>
    <row r="15" spans="1:5" x14ac:dyDescent="0.35">
      <c r="A15" s="10">
        <v>50012</v>
      </c>
      <c r="B15" s="10" t="s">
        <v>391</v>
      </c>
      <c r="C15" s="10" t="s">
        <v>1428</v>
      </c>
      <c r="D15" s="10" t="s">
        <v>406</v>
      </c>
      <c r="E15" s="10" t="s">
        <v>1440</v>
      </c>
    </row>
    <row r="16" spans="1:5" x14ac:dyDescent="0.35">
      <c r="A16" s="10">
        <v>50013</v>
      </c>
      <c r="B16" s="10" t="s">
        <v>1340</v>
      </c>
      <c r="C16" s="10" t="s">
        <v>1428</v>
      </c>
      <c r="D16" s="10" t="s">
        <v>1341</v>
      </c>
      <c r="E16" s="10" t="s">
        <v>1441</v>
      </c>
    </row>
    <row r="17" spans="1:5" x14ac:dyDescent="0.35">
      <c r="A17" s="10">
        <v>50014</v>
      </c>
      <c r="B17" s="10" t="s">
        <v>1343</v>
      </c>
      <c r="C17" s="10" t="s">
        <v>1428</v>
      </c>
      <c r="D17" s="10" t="s">
        <v>1344</v>
      </c>
      <c r="E17" s="10" t="s">
        <v>1442</v>
      </c>
    </row>
    <row r="18" spans="1:5" x14ac:dyDescent="0.35">
      <c r="A18" s="10">
        <v>50015</v>
      </c>
      <c r="B18" s="10" t="s">
        <v>1346</v>
      </c>
      <c r="C18" s="10" t="s">
        <v>1428</v>
      </c>
      <c r="D18" s="10" t="s">
        <v>1347</v>
      </c>
      <c r="E18" s="10" t="s">
        <v>1443</v>
      </c>
    </row>
    <row r="19" spans="1:5" x14ac:dyDescent="0.35">
      <c r="A19" s="10">
        <v>50016</v>
      </c>
      <c r="B19" s="10" t="s">
        <v>1349</v>
      </c>
      <c r="C19" s="10" t="s">
        <v>1428</v>
      </c>
      <c r="D19" s="10" t="s">
        <v>1350</v>
      </c>
      <c r="E19" s="10" t="s">
        <v>1444</v>
      </c>
    </row>
    <row r="20" spans="1:5" x14ac:dyDescent="0.35">
      <c r="A20" s="10">
        <v>50017</v>
      </c>
      <c r="B20" s="10" t="s">
        <v>1352</v>
      </c>
      <c r="C20" s="10" t="s">
        <v>1428</v>
      </c>
      <c r="D20" s="10" t="s">
        <v>1353</v>
      </c>
      <c r="E20" s="10" t="s">
        <v>1445</v>
      </c>
    </row>
    <row r="21" spans="1:5" x14ac:dyDescent="0.35">
      <c r="A21" s="10">
        <v>50018</v>
      </c>
      <c r="B21" s="10" t="s">
        <v>1355</v>
      </c>
      <c r="C21" s="10" t="s">
        <v>1428</v>
      </c>
      <c r="D21" s="10" t="s">
        <v>1356</v>
      </c>
      <c r="E21" s="10" t="s">
        <v>1446</v>
      </c>
    </row>
    <row r="22" spans="1:5" x14ac:dyDescent="0.35">
      <c r="A22" s="10">
        <v>50019</v>
      </c>
      <c r="B22" s="10" t="s">
        <v>1358</v>
      </c>
      <c r="C22" s="10" t="s">
        <v>1428</v>
      </c>
      <c r="D22" s="10" t="s">
        <v>1359</v>
      </c>
      <c r="E22" s="10" t="s">
        <v>1447</v>
      </c>
    </row>
    <row r="23" spans="1:5" x14ac:dyDescent="0.35">
      <c r="A23" s="10">
        <v>50020</v>
      </c>
      <c r="B23" s="10" t="s">
        <v>1361</v>
      </c>
      <c r="C23" s="10" t="s">
        <v>1428</v>
      </c>
      <c r="D23" s="10" t="s">
        <v>1362</v>
      </c>
      <c r="E23" s="10" t="s">
        <v>1448</v>
      </c>
    </row>
    <row r="24" spans="1:5" x14ac:dyDescent="0.35">
      <c r="A24" s="10">
        <v>50021</v>
      </c>
      <c r="B24" s="10" t="s">
        <v>1364</v>
      </c>
      <c r="C24" s="10" t="s">
        <v>1428</v>
      </c>
      <c r="D24" s="10" t="s">
        <v>1365</v>
      </c>
      <c r="E24" s="10" t="s">
        <v>1449</v>
      </c>
    </row>
    <row r="25" spans="1:5" x14ac:dyDescent="0.35">
      <c r="A25" s="10">
        <v>50022</v>
      </c>
      <c r="B25" s="10" t="s">
        <v>1367</v>
      </c>
      <c r="C25" s="10" t="s">
        <v>1428</v>
      </c>
      <c r="D25" s="10" t="s">
        <v>1368</v>
      </c>
      <c r="E25" s="10" t="s">
        <v>1450</v>
      </c>
    </row>
    <row r="26" spans="1:5" x14ac:dyDescent="0.35">
      <c r="A26" s="10">
        <v>50023</v>
      </c>
      <c r="B26" s="10" t="s">
        <v>468</v>
      </c>
      <c r="C26" s="10" t="s">
        <v>1428</v>
      </c>
      <c r="D26" s="10" t="s">
        <v>1370</v>
      </c>
      <c r="E26" s="10" t="s">
        <v>1451</v>
      </c>
    </row>
    <row r="27" spans="1:5" x14ac:dyDescent="0.35">
      <c r="A27" s="10">
        <v>50024</v>
      </c>
      <c r="B27" s="10" t="s">
        <v>1373</v>
      </c>
      <c r="C27" s="10" t="s">
        <v>1428</v>
      </c>
      <c r="D27" s="10" t="s">
        <v>1374</v>
      </c>
      <c r="E27" s="10" t="s">
        <v>1452</v>
      </c>
    </row>
    <row r="28" spans="1:5" x14ac:dyDescent="0.35">
      <c r="A28" s="10">
        <v>50025</v>
      </c>
      <c r="B28" s="10" t="s">
        <v>1376</v>
      </c>
      <c r="C28" s="10" t="s">
        <v>1428</v>
      </c>
      <c r="D28" s="10" t="s">
        <v>1377</v>
      </c>
      <c r="E28" s="10" t="s">
        <v>1453</v>
      </c>
    </row>
    <row r="29" spans="1:5" x14ac:dyDescent="0.35">
      <c r="A29" s="10">
        <v>50026</v>
      </c>
      <c r="B29" s="10" t="s">
        <v>1379</v>
      </c>
      <c r="C29" s="10" t="s">
        <v>1428</v>
      </c>
      <c r="D29" s="10" t="s">
        <v>1380</v>
      </c>
      <c r="E29" s="10" t="s">
        <v>1454</v>
      </c>
    </row>
    <row r="30" spans="1:5" x14ac:dyDescent="0.35">
      <c r="A30" s="10">
        <v>50027</v>
      </c>
      <c r="B30" s="10" t="s">
        <v>1382</v>
      </c>
      <c r="C30" s="10" t="s">
        <v>1428</v>
      </c>
      <c r="D30" s="10" t="s">
        <v>1383</v>
      </c>
      <c r="E30" s="10" t="s">
        <v>1455</v>
      </c>
    </row>
    <row r="31" spans="1:5" x14ac:dyDescent="0.35">
      <c r="A31" s="10">
        <v>50028</v>
      </c>
      <c r="B31" s="10" t="s">
        <v>1385</v>
      </c>
      <c r="C31" s="10" t="s">
        <v>1428</v>
      </c>
      <c r="D31" s="10" t="s">
        <v>1386</v>
      </c>
      <c r="E31" s="10" t="s">
        <v>1456</v>
      </c>
    </row>
    <row r="32" spans="1:5" x14ac:dyDescent="0.35">
      <c r="A32" s="10">
        <v>50029</v>
      </c>
      <c r="B32" s="10" t="s">
        <v>1388</v>
      </c>
      <c r="C32" s="10" t="s">
        <v>1428</v>
      </c>
      <c r="D32" s="10" t="s">
        <v>1389</v>
      </c>
      <c r="E32" s="10" t="s">
        <v>1457</v>
      </c>
    </row>
    <row r="33" spans="1:5" x14ac:dyDescent="0.35">
      <c r="A33" s="10">
        <v>50030</v>
      </c>
      <c r="B33" s="10" t="s">
        <v>449</v>
      </c>
      <c r="C33" s="10" t="s">
        <v>1428</v>
      </c>
      <c r="D33" s="10" t="s">
        <v>1391</v>
      </c>
      <c r="E33" s="10" t="s">
        <v>1458</v>
      </c>
    </row>
    <row r="34" spans="1:5" x14ac:dyDescent="0.35">
      <c r="A34" s="10">
        <v>50031</v>
      </c>
      <c r="B34" s="10" t="s">
        <v>1393</v>
      </c>
      <c r="C34" s="10" t="s">
        <v>1428</v>
      </c>
      <c r="D34" s="10" t="s">
        <v>1394</v>
      </c>
      <c r="E34" s="10" t="s">
        <v>1459</v>
      </c>
    </row>
    <row r="35" spans="1:5" x14ac:dyDescent="0.35">
      <c r="A35" s="10">
        <v>50032</v>
      </c>
      <c r="B35" s="10" t="s">
        <v>1396</v>
      </c>
      <c r="C35" s="10" t="s">
        <v>1428</v>
      </c>
      <c r="D35" s="10" t="s">
        <v>1397</v>
      </c>
      <c r="E35" s="10" t="s">
        <v>1460</v>
      </c>
    </row>
    <row r="36" spans="1:5" x14ac:dyDescent="0.35">
      <c r="A36" s="10">
        <v>50033</v>
      </c>
      <c r="B36" s="10" t="s">
        <v>1399</v>
      </c>
      <c r="C36" s="10" t="s">
        <v>1428</v>
      </c>
      <c r="D36" s="10" t="s">
        <v>1400</v>
      </c>
      <c r="E36" s="10" t="s">
        <v>1461</v>
      </c>
    </row>
    <row r="37" spans="1:5" x14ac:dyDescent="0.35">
      <c r="A37" s="10">
        <v>50034</v>
      </c>
      <c r="B37" s="10" t="s">
        <v>1402</v>
      </c>
      <c r="C37" s="10" t="s">
        <v>1428</v>
      </c>
      <c r="D37" s="10" t="s">
        <v>1403</v>
      </c>
      <c r="E37" s="10" t="s">
        <v>1462</v>
      </c>
    </row>
    <row r="38" spans="1:5" x14ac:dyDescent="0.35">
      <c r="A38" s="10">
        <v>50035</v>
      </c>
      <c r="B38" s="10" t="s">
        <v>1405</v>
      </c>
      <c r="C38" s="10" t="s">
        <v>1428</v>
      </c>
      <c r="D38" s="10" t="s">
        <v>1406</v>
      </c>
      <c r="E38" s="10" t="s">
        <v>1463</v>
      </c>
    </row>
    <row r="39" spans="1:5" x14ac:dyDescent="0.35">
      <c r="A39" s="10">
        <v>50036</v>
      </c>
      <c r="B39" s="10" t="s">
        <v>1408</v>
      </c>
      <c r="C39" s="10" t="s">
        <v>1428</v>
      </c>
      <c r="D39" s="10" t="s">
        <v>1409</v>
      </c>
      <c r="E39" s="10" t="s">
        <v>1464</v>
      </c>
    </row>
    <row r="40" spans="1:5" x14ac:dyDescent="0.35">
      <c r="A40" s="10">
        <v>50037</v>
      </c>
      <c r="B40" s="10" t="s">
        <v>1411</v>
      </c>
      <c r="C40" s="10" t="s">
        <v>1428</v>
      </c>
      <c r="D40" s="10" t="s">
        <v>1412</v>
      </c>
      <c r="E40" s="10" t="s">
        <v>1465</v>
      </c>
    </row>
    <row r="41" spans="1:5" x14ac:dyDescent="0.35">
      <c r="A41" s="10">
        <v>50038</v>
      </c>
      <c r="B41" s="10" t="s">
        <v>1414</v>
      </c>
      <c r="C41" s="10" t="s">
        <v>1428</v>
      </c>
      <c r="D41" s="10" t="s">
        <v>1416</v>
      </c>
      <c r="E41" s="10" t="s">
        <v>1466</v>
      </c>
    </row>
    <row r="42" spans="1:5" x14ac:dyDescent="0.35">
      <c r="A42" s="10">
        <v>50039</v>
      </c>
      <c r="B42" s="10" t="s">
        <v>1418</v>
      </c>
      <c r="C42" s="10" t="s">
        <v>1428</v>
      </c>
      <c r="D42" s="10" t="s">
        <v>1419</v>
      </c>
      <c r="E42" s="10" t="s">
        <v>1467</v>
      </c>
    </row>
    <row r="43" spans="1:5" x14ac:dyDescent="0.35">
      <c r="A43" s="10">
        <v>50040</v>
      </c>
      <c r="B43" s="10" t="s">
        <v>1421</v>
      </c>
      <c r="C43" s="10" t="s">
        <v>1428</v>
      </c>
      <c r="D43" s="10" t="s">
        <v>1422</v>
      </c>
      <c r="E43" s="10" t="s">
        <v>1468</v>
      </c>
    </row>
    <row r="44" spans="1:5" x14ac:dyDescent="0.35">
      <c r="A44" s="10">
        <v>50041</v>
      </c>
      <c r="B44" s="10" t="s">
        <v>1340</v>
      </c>
      <c r="C44" s="10" t="s">
        <v>1469</v>
      </c>
      <c r="D44" s="10" t="s">
        <v>1470</v>
      </c>
      <c r="E44" s="10" t="s">
        <v>1471</v>
      </c>
    </row>
    <row r="45" spans="1:5" x14ac:dyDescent="0.35">
      <c r="A45" s="10">
        <v>50042</v>
      </c>
      <c r="B45" s="10" t="s">
        <v>1367</v>
      </c>
      <c r="C45" s="10" t="s">
        <v>1469</v>
      </c>
      <c r="D45" s="10" t="s">
        <v>1472</v>
      </c>
      <c r="E45" s="10" t="s">
        <v>1473</v>
      </c>
    </row>
    <row r="46" spans="1:5" x14ac:dyDescent="0.35">
      <c r="A46" s="10">
        <v>50043</v>
      </c>
      <c r="B46" s="10" t="s">
        <v>1367</v>
      </c>
      <c r="C46" s="10" t="s">
        <v>1474</v>
      </c>
      <c r="D46" s="10" t="s">
        <v>1475</v>
      </c>
      <c r="E46" s="10" t="s">
        <v>1476</v>
      </c>
    </row>
    <row r="47" spans="1:5" x14ac:dyDescent="0.35">
      <c r="A47" s="10">
        <v>50044</v>
      </c>
      <c r="B47" s="10" t="s">
        <v>1388</v>
      </c>
      <c r="C47" s="10" t="s">
        <v>1477</v>
      </c>
      <c r="D47" s="10" t="s">
        <v>1478</v>
      </c>
      <c r="E47" s="10" t="s">
        <v>1479</v>
      </c>
    </row>
    <row r="48" spans="1:5" x14ac:dyDescent="0.35">
      <c r="A48" s="10">
        <v>50045</v>
      </c>
      <c r="B48" s="10" t="s">
        <v>449</v>
      </c>
      <c r="C48" s="10" t="s">
        <v>1469</v>
      </c>
      <c r="D48" s="10" t="s">
        <v>1480</v>
      </c>
      <c r="E48" s="10" t="s">
        <v>1481</v>
      </c>
    </row>
    <row r="49" spans="1:5" x14ac:dyDescent="0.35">
      <c r="A49" s="10">
        <v>50046</v>
      </c>
      <c r="B49" s="10" t="s">
        <v>449</v>
      </c>
      <c r="C49" s="10" t="s">
        <v>1474</v>
      </c>
      <c r="D49" s="10" t="s">
        <v>1482</v>
      </c>
      <c r="E49" s="10" t="s">
        <v>1483</v>
      </c>
    </row>
    <row r="50" spans="1:5" x14ac:dyDescent="0.35">
      <c r="A50" s="10">
        <v>50047</v>
      </c>
      <c r="B50" s="10" t="s">
        <v>449</v>
      </c>
      <c r="C50" s="10" t="s">
        <v>452</v>
      </c>
      <c r="D50" s="10" t="s">
        <v>1484</v>
      </c>
      <c r="E50" s="10" t="s">
        <v>1485</v>
      </c>
    </row>
    <row r="51" spans="1:5" x14ac:dyDescent="0.35">
      <c r="A51" s="10">
        <v>50048</v>
      </c>
      <c r="B51" s="10" t="s">
        <v>1405</v>
      </c>
      <c r="C51" s="10" t="s">
        <v>1469</v>
      </c>
      <c r="D51" s="10" t="s">
        <v>1486</v>
      </c>
      <c r="E51" s="10" t="s">
        <v>1487</v>
      </c>
    </row>
    <row r="52" spans="1:5" x14ac:dyDescent="0.35">
      <c r="A52" s="10">
        <v>50049</v>
      </c>
      <c r="B52" s="10" t="s">
        <v>1346</v>
      </c>
      <c r="C52" s="10" t="s">
        <v>1469</v>
      </c>
      <c r="D52" s="10" t="s">
        <v>1488</v>
      </c>
      <c r="E52" s="10" t="s">
        <v>1489</v>
      </c>
    </row>
    <row r="53" spans="1:5" x14ac:dyDescent="0.35">
      <c r="A53" s="10">
        <v>50050</v>
      </c>
      <c r="B53" s="10" t="s">
        <v>1346</v>
      </c>
      <c r="C53" s="10" t="s">
        <v>1428</v>
      </c>
      <c r="D53" s="10" t="s">
        <v>1488</v>
      </c>
      <c r="E53" s="10" t="s">
        <v>1490</v>
      </c>
    </row>
    <row r="54" spans="1:5" x14ac:dyDescent="0.35">
      <c r="A54" s="10">
        <v>50051</v>
      </c>
      <c r="B54" s="10" t="s">
        <v>1352</v>
      </c>
      <c r="C54" s="10" t="s">
        <v>1491</v>
      </c>
      <c r="D54" s="10" t="s">
        <v>1492</v>
      </c>
      <c r="E54" s="10" t="s">
        <v>1493</v>
      </c>
    </row>
  </sheetData>
  <autoFilter ref="A3:E54" xr:uid="{00000000-0009-0000-0000-000019000000}"/>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27"/>
  <sheetViews>
    <sheetView showGridLines="0" workbookViewId="0">
      <pane ySplit="3" topLeftCell="A4" activePane="bottomLeft" state="frozen"/>
      <selection pane="bottomLeft"/>
    </sheetView>
  </sheetViews>
  <sheetFormatPr defaultRowHeight="14.5" x14ac:dyDescent="0.35"/>
  <cols>
    <col min="1" max="1" width="15" customWidth="1"/>
    <col min="2" max="2" width="10" customWidth="1"/>
    <col min="3" max="3" width="17" customWidth="1"/>
    <col min="4" max="4" width="18" customWidth="1"/>
    <col min="5" max="5" width="16" customWidth="1"/>
  </cols>
  <sheetData>
    <row r="1" spans="1:5" x14ac:dyDescent="0.35">
      <c r="A1" s="9" t="s">
        <v>1494</v>
      </c>
    </row>
    <row r="3" spans="1:5" x14ac:dyDescent="0.35">
      <c r="A3" s="7" t="s">
        <v>322</v>
      </c>
      <c r="B3" s="7" t="s">
        <v>311</v>
      </c>
      <c r="C3" s="7" t="s">
        <v>472</v>
      </c>
      <c r="D3" s="7" t="s">
        <v>475</v>
      </c>
      <c r="E3" s="7" t="s">
        <v>478</v>
      </c>
    </row>
    <row r="4" spans="1:5" x14ac:dyDescent="0.35">
      <c r="A4" s="10" t="s">
        <v>1495</v>
      </c>
      <c r="B4" s="10" t="s">
        <v>1306</v>
      </c>
      <c r="C4" s="10" t="s">
        <v>1496</v>
      </c>
      <c r="D4" s="10">
        <v>3000000</v>
      </c>
      <c r="E4" s="10" t="s">
        <v>1497</v>
      </c>
    </row>
    <row r="5" spans="1:5" x14ac:dyDescent="0.35">
      <c r="A5" s="10" t="s">
        <v>1498</v>
      </c>
      <c r="B5" s="10" t="s">
        <v>1312</v>
      </c>
      <c r="C5" s="10" t="s">
        <v>1499</v>
      </c>
      <c r="D5" s="10">
        <v>2500000</v>
      </c>
      <c r="E5" s="10" t="s">
        <v>1492</v>
      </c>
    </row>
    <row r="6" spans="1:5" x14ac:dyDescent="0.35">
      <c r="A6" s="10" t="s">
        <v>1500</v>
      </c>
      <c r="B6" s="10" t="s">
        <v>1315</v>
      </c>
      <c r="C6" s="10" t="s">
        <v>471</v>
      </c>
      <c r="D6" s="10">
        <v>25000000</v>
      </c>
      <c r="E6" s="10" t="s">
        <v>1501</v>
      </c>
    </row>
    <row r="7" spans="1:5" x14ac:dyDescent="0.35">
      <c r="A7" s="10" t="s">
        <v>1502</v>
      </c>
      <c r="B7" s="10" t="s">
        <v>1319</v>
      </c>
      <c r="C7" s="10" t="s">
        <v>1496</v>
      </c>
      <c r="D7" s="10">
        <v>1800000</v>
      </c>
      <c r="E7" s="10" t="s">
        <v>1503</v>
      </c>
    </row>
    <row r="8" spans="1:5" x14ac:dyDescent="0.35">
      <c r="A8" s="10" t="s">
        <v>466</v>
      </c>
      <c r="B8" s="10" t="s">
        <v>1325</v>
      </c>
      <c r="C8" s="10" t="s">
        <v>1504</v>
      </c>
      <c r="D8" s="10">
        <v>33000000</v>
      </c>
      <c r="E8" s="10" t="s">
        <v>1505</v>
      </c>
    </row>
    <row r="9" spans="1:5" x14ac:dyDescent="0.35">
      <c r="A9" s="10" t="s">
        <v>1506</v>
      </c>
      <c r="B9" s="10" t="s">
        <v>1331</v>
      </c>
      <c r="C9" s="10" t="s">
        <v>1507</v>
      </c>
      <c r="D9" s="10">
        <v>19000000</v>
      </c>
      <c r="E9" s="10" t="s">
        <v>1508</v>
      </c>
    </row>
    <row r="10" spans="1:5" x14ac:dyDescent="0.35">
      <c r="A10" s="10" t="s">
        <v>1509</v>
      </c>
      <c r="B10" s="10" t="s">
        <v>1337</v>
      </c>
      <c r="C10" s="10" t="s">
        <v>1510</v>
      </c>
      <c r="D10" s="10">
        <v>30500000</v>
      </c>
      <c r="E10" s="10" t="s">
        <v>1511</v>
      </c>
    </row>
    <row r="11" spans="1:5" x14ac:dyDescent="0.35">
      <c r="A11" s="10" t="s">
        <v>1512</v>
      </c>
      <c r="B11" s="10" t="s">
        <v>1343</v>
      </c>
      <c r="C11" s="10" t="s">
        <v>1504</v>
      </c>
      <c r="D11" s="10">
        <v>22000000</v>
      </c>
      <c r="E11" s="10" t="s">
        <v>1513</v>
      </c>
    </row>
    <row r="12" spans="1:5" x14ac:dyDescent="0.35">
      <c r="A12" s="10" t="s">
        <v>1514</v>
      </c>
      <c r="B12" s="10" t="s">
        <v>1352</v>
      </c>
      <c r="C12" s="10" t="s">
        <v>1507</v>
      </c>
      <c r="D12" s="10">
        <v>12500000</v>
      </c>
      <c r="E12" s="10" t="s">
        <v>1515</v>
      </c>
    </row>
    <row r="13" spans="1:5" x14ac:dyDescent="0.35">
      <c r="A13" s="10" t="s">
        <v>1516</v>
      </c>
      <c r="B13" s="10" t="s">
        <v>1358</v>
      </c>
      <c r="C13" s="10" t="s">
        <v>471</v>
      </c>
      <c r="D13" s="10">
        <v>36000000</v>
      </c>
      <c r="E13" s="10" t="s">
        <v>480</v>
      </c>
    </row>
    <row r="14" spans="1:5" x14ac:dyDescent="0.35">
      <c r="A14" s="10" t="s">
        <v>1517</v>
      </c>
      <c r="B14" s="10" t="s">
        <v>1361</v>
      </c>
      <c r="C14" s="10" t="s">
        <v>1510</v>
      </c>
      <c r="D14" s="10">
        <v>21000000</v>
      </c>
      <c r="E14" s="10" t="s">
        <v>1518</v>
      </c>
    </row>
    <row r="15" spans="1:5" x14ac:dyDescent="0.35">
      <c r="A15" s="10" t="s">
        <v>1519</v>
      </c>
      <c r="B15" s="10" t="s">
        <v>1367</v>
      </c>
      <c r="C15" s="10" t="s">
        <v>1496</v>
      </c>
      <c r="D15" s="10">
        <v>3500000</v>
      </c>
      <c r="E15" s="10" t="s">
        <v>1520</v>
      </c>
    </row>
    <row r="16" spans="1:5" x14ac:dyDescent="0.35">
      <c r="A16" s="10" t="s">
        <v>1521</v>
      </c>
      <c r="B16" s="10" t="s">
        <v>468</v>
      </c>
      <c r="C16" s="10" t="s">
        <v>471</v>
      </c>
      <c r="D16" s="10">
        <v>11500000</v>
      </c>
      <c r="E16" s="10" t="s">
        <v>1522</v>
      </c>
    </row>
    <row r="17" spans="1:5" x14ac:dyDescent="0.35">
      <c r="A17" s="10" t="s">
        <v>1523</v>
      </c>
      <c r="B17" s="10" t="s">
        <v>1373</v>
      </c>
      <c r="C17" s="10" t="s">
        <v>1504</v>
      </c>
      <c r="D17" s="10">
        <v>17500000</v>
      </c>
      <c r="E17" s="10" t="s">
        <v>1524</v>
      </c>
    </row>
    <row r="18" spans="1:5" x14ac:dyDescent="0.35">
      <c r="A18" s="10" t="s">
        <v>1525</v>
      </c>
      <c r="B18" s="10" t="s">
        <v>1376</v>
      </c>
      <c r="C18" s="10" t="s">
        <v>1496</v>
      </c>
      <c r="D18" s="10">
        <v>2800000</v>
      </c>
      <c r="E18" s="10" t="s">
        <v>1526</v>
      </c>
    </row>
    <row r="19" spans="1:5" x14ac:dyDescent="0.35">
      <c r="A19" s="10" t="s">
        <v>1527</v>
      </c>
      <c r="B19" s="10" t="s">
        <v>1379</v>
      </c>
      <c r="C19" s="10" t="s">
        <v>1507</v>
      </c>
      <c r="D19" s="10">
        <v>11000000</v>
      </c>
      <c r="E19" s="10" t="s">
        <v>1528</v>
      </c>
    </row>
    <row r="20" spans="1:5" x14ac:dyDescent="0.35">
      <c r="A20" s="10" t="s">
        <v>1529</v>
      </c>
      <c r="B20" s="10" t="s">
        <v>1385</v>
      </c>
      <c r="C20" s="10" t="s">
        <v>1496</v>
      </c>
      <c r="D20" s="10">
        <v>1200000</v>
      </c>
      <c r="E20" s="10" t="s">
        <v>1530</v>
      </c>
    </row>
    <row r="21" spans="1:5" x14ac:dyDescent="0.35">
      <c r="A21" s="10" t="s">
        <v>1531</v>
      </c>
      <c r="B21" s="10" t="s">
        <v>449</v>
      </c>
      <c r="C21" s="10" t="s">
        <v>1499</v>
      </c>
      <c r="D21" s="10">
        <v>1000000</v>
      </c>
      <c r="E21" s="10" t="s">
        <v>1492</v>
      </c>
    </row>
    <row r="22" spans="1:5" x14ac:dyDescent="0.35">
      <c r="A22" s="10" t="s">
        <v>1532</v>
      </c>
      <c r="B22" s="10" t="s">
        <v>1393</v>
      </c>
      <c r="C22" s="10" t="s">
        <v>471</v>
      </c>
      <c r="D22" s="10">
        <v>16000000</v>
      </c>
      <c r="E22" s="10" t="s">
        <v>1533</v>
      </c>
    </row>
    <row r="23" spans="1:5" x14ac:dyDescent="0.35">
      <c r="A23" s="10" t="s">
        <v>1534</v>
      </c>
      <c r="B23" s="10" t="s">
        <v>1399</v>
      </c>
      <c r="C23" s="10" t="s">
        <v>1510</v>
      </c>
      <c r="D23" s="10">
        <v>13500000</v>
      </c>
      <c r="E23" s="10" t="s">
        <v>1535</v>
      </c>
    </row>
    <row r="24" spans="1:5" x14ac:dyDescent="0.35">
      <c r="A24" s="10" t="s">
        <v>1536</v>
      </c>
      <c r="B24" s="10" t="s">
        <v>1408</v>
      </c>
      <c r="C24" s="10" t="s">
        <v>1504</v>
      </c>
      <c r="D24" s="10">
        <v>18500000</v>
      </c>
      <c r="E24" s="10" t="s">
        <v>1537</v>
      </c>
    </row>
    <row r="25" spans="1:5" x14ac:dyDescent="0.35">
      <c r="A25" s="10" t="s">
        <v>1538</v>
      </c>
      <c r="B25" s="10" t="s">
        <v>1421</v>
      </c>
      <c r="C25" s="10" t="s">
        <v>1504</v>
      </c>
      <c r="D25" s="10">
        <v>12000000</v>
      </c>
      <c r="E25" s="10" t="s">
        <v>1539</v>
      </c>
    </row>
    <row r="26" spans="1:5" x14ac:dyDescent="0.35">
      <c r="A26" s="10" t="s">
        <v>1540</v>
      </c>
      <c r="B26" s="10" t="s">
        <v>1411</v>
      </c>
      <c r="C26" s="10" t="s">
        <v>1499</v>
      </c>
      <c r="D26" s="10">
        <v>1500000</v>
      </c>
      <c r="E26" s="10" t="s">
        <v>1492</v>
      </c>
    </row>
    <row r="27" spans="1:5" x14ac:dyDescent="0.35">
      <c r="A27" s="10" t="s">
        <v>1541</v>
      </c>
      <c r="B27" s="10" t="s">
        <v>1337</v>
      </c>
      <c r="C27" s="10" t="s">
        <v>1510</v>
      </c>
      <c r="D27" s="10">
        <v>2000000</v>
      </c>
      <c r="E27" s="10" t="s">
        <v>1511</v>
      </c>
    </row>
  </sheetData>
  <autoFilter ref="A3:E27" xr:uid="{00000000-0009-0000-0000-00001A000000}"/>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5"/>
  <sheetViews>
    <sheetView showGridLines="0" workbookViewId="0">
      <pane ySplit="3" topLeftCell="A4" activePane="bottomLeft" state="frozen"/>
      <selection pane="bottomLeft"/>
    </sheetView>
  </sheetViews>
  <sheetFormatPr defaultRowHeight="14.5" x14ac:dyDescent="0.35"/>
  <cols>
    <col min="1" max="3" width="12" customWidth="1"/>
  </cols>
  <sheetData>
    <row r="1" spans="1:3" x14ac:dyDescent="0.35">
      <c r="A1" s="9" t="s">
        <v>1542</v>
      </c>
    </row>
    <row r="3" spans="1:3" x14ac:dyDescent="0.35">
      <c r="A3" s="7" t="s">
        <v>442</v>
      </c>
      <c r="B3" s="7" t="s">
        <v>429</v>
      </c>
      <c r="C3" s="7" t="s">
        <v>1543</v>
      </c>
    </row>
    <row r="4" spans="1:3" x14ac:dyDescent="0.35">
      <c r="A4" s="10" t="s">
        <v>444</v>
      </c>
      <c r="B4" s="10" t="s">
        <v>431</v>
      </c>
      <c r="C4" s="10">
        <v>85950000</v>
      </c>
    </row>
    <row r="5" spans="1:3" x14ac:dyDescent="0.35">
      <c r="A5" s="10" t="s">
        <v>1425</v>
      </c>
      <c r="B5" s="10" t="s">
        <v>431</v>
      </c>
      <c r="C5" s="10">
        <v>203050000</v>
      </c>
    </row>
  </sheetData>
  <autoFilter ref="A3:C5" xr:uid="{00000000-0009-0000-0000-00001B000000}"/>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Q123"/>
  <sheetViews>
    <sheetView showGridLines="0" workbookViewId="0">
      <pane ySplit="3" topLeftCell="A4" activePane="bottomLeft" state="frozen"/>
      <selection pane="bottomLeft"/>
    </sheetView>
  </sheetViews>
  <sheetFormatPr defaultRowHeight="14.5" x14ac:dyDescent="0.35"/>
  <cols>
    <col min="1" max="1" width="10" customWidth="1"/>
    <col min="2" max="2" width="11" customWidth="1"/>
    <col min="3" max="3" width="17" customWidth="1"/>
    <col min="4" max="4" width="10" customWidth="1"/>
    <col min="5" max="5" width="12" customWidth="1"/>
    <col min="6" max="6" width="10" customWidth="1"/>
    <col min="7" max="7" width="13" customWidth="1"/>
    <col min="8" max="8" width="10" customWidth="1"/>
    <col min="9" max="9" width="12" customWidth="1"/>
    <col min="10" max="10" width="10" customWidth="1"/>
    <col min="11" max="11" width="13" customWidth="1"/>
    <col min="12" max="13" width="10" customWidth="1"/>
    <col min="14" max="14" width="11" customWidth="1"/>
    <col min="15" max="15" width="10" customWidth="1"/>
    <col min="16" max="16" width="12" customWidth="1"/>
    <col min="17" max="17" width="10" customWidth="1"/>
  </cols>
  <sheetData>
    <row r="1" spans="1:17" x14ac:dyDescent="0.35">
      <c r="A1" s="9" t="s">
        <v>1544</v>
      </c>
    </row>
    <row r="3" spans="1:17" x14ac:dyDescent="0.35">
      <c r="A3" s="7" t="s">
        <v>311</v>
      </c>
      <c r="B3" s="7" t="s">
        <v>400</v>
      </c>
      <c r="C3" s="7" t="s">
        <v>1545</v>
      </c>
      <c r="D3" s="7" t="s">
        <v>1546</v>
      </c>
      <c r="E3" s="7" t="s">
        <v>511</v>
      </c>
      <c r="F3" s="7" t="s">
        <v>1547</v>
      </c>
      <c r="G3" s="7" t="s">
        <v>1548</v>
      </c>
      <c r="H3" s="7" t="s">
        <v>1549</v>
      </c>
      <c r="I3" s="7" t="s">
        <v>546</v>
      </c>
      <c r="J3" s="7" t="s">
        <v>538</v>
      </c>
      <c r="K3" s="7" t="s">
        <v>540</v>
      </c>
      <c r="L3" s="7" t="s">
        <v>1550</v>
      </c>
      <c r="M3" s="7" t="s">
        <v>549</v>
      </c>
      <c r="N3" s="7" t="s">
        <v>1551</v>
      </c>
      <c r="O3" s="7" t="s">
        <v>1552</v>
      </c>
      <c r="P3" s="7" t="s">
        <v>558</v>
      </c>
      <c r="Q3" s="7" t="s">
        <v>1553</v>
      </c>
    </row>
    <row r="4" spans="1:17" x14ac:dyDescent="0.35">
      <c r="A4" s="10" t="s">
        <v>1306</v>
      </c>
      <c r="B4" s="10" t="s">
        <v>403</v>
      </c>
      <c r="C4" s="10" t="s">
        <v>399</v>
      </c>
      <c r="D4" s="10">
        <v>4</v>
      </c>
      <c r="E4" s="10" t="s">
        <v>1554</v>
      </c>
      <c r="F4" s="10" t="s">
        <v>1555</v>
      </c>
      <c r="G4" s="10">
        <v>4200000</v>
      </c>
      <c r="H4" s="10">
        <v>1800000</v>
      </c>
      <c r="I4" s="10">
        <v>5100000</v>
      </c>
      <c r="J4" s="10">
        <v>8.0000000000000002E-3</v>
      </c>
      <c r="K4" s="10">
        <v>8.0000000000000002E-3</v>
      </c>
      <c r="L4" s="10">
        <v>1.7999999999999999E-2</v>
      </c>
      <c r="M4" s="10">
        <v>0.45</v>
      </c>
      <c r="N4" s="10">
        <v>41310</v>
      </c>
      <c r="O4" s="10">
        <v>1</v>
      </c>
      <c r="P4" s="10">
        <v>5100000</v>
      </c>
      <c r="Q4" s="10">
        <v>6.8500000000000005E-2</v>
      </c>
    </row>
    <row r="5" spans="1:17" x14ac:dyDescent="0.35">
      <c r="A5" s="10" t="s">
        <v>1306</v>
      </c>
      <c r="B5" s="10" t="s">
        <v>403</v>
      </c>
      <c r="C5" s="10" t="s">
        <v>399</v>
      </c>
      <c r="D5" s="10">
        <v>4</v>
      </c>
      <c r="E5" s="10" t="s">
        <v>1554</v>
      </c>
      <c r="F5" s="10" t="s">
        <v>1556</v>
      </c>
      <c r="G5" s="10">
        <v>4200000</v>
      </c>
      <c r="H5" s="10">
        <v>1800000</v>
      </c>
      <c r="I5" s="10">
        <v>5100000</v>
      </c>
      <c r="J5" s="10">
        <v>8.0000000000000002E-3</v>
      </c>
      <c r="K5" s="10">
        <v>1.44E-2</v>
      </c>
      <c r="L5" s="10">
        <v>3.2399999999999998E-2</v>
      </c>
      <c r="M5" s="10">
        <v>0.45</v>
      </c>
      <c r="N5" s="10">
        <v>74358</v>
      </c>
      <c r="O5" s="10">
        <v>1</v>
      </c>
      <c r="P5" s="10">
        <v>5100000</v>
      </c>
      <c r="Q5" s="10">
        <v>6.8500000000000005E-2</v>
      </c>
    </row>
    <row r="6" spans="1:17" x14ac:dyDescent="0.35">
      <c r="A6" s="10" t="s">
        <v>1306</v>
      </c>
      <c r="B6" s="10" t="s">
        <v>403</v>
      </c>
      <c r="C6" s="10" t="s">
        <v>399</v>
      </c>
      <c r="D6" s="10">
        <v>4</v>
      </c>
      <c r="E6" s="10" t="s">
        <v>1554</v>
      </c>
      <c r="F6" s="10" t="s">
        <v>484</v>
      </c>
      <c r="G6" s="10">
        <v>4200000</v>
      </c>
      <c r="H6" s="10">
        <v>1800000</v>
      </c>
      <c r="I6" s="10">
        <v>5100000</v>
      </c>
      <c r="J6" s="10">
        <v>8.0000000000000002E-3</v>
      </c>
      <c r="K6" s="10">
        <v>2.4E-2</v>
      </c>
      <c r="L6" s="10">
        <v>5.3999999999999999E-2</v>
      </c>
      <c r="M6" s="10">
        <v>0.45</v>
      </c>
      <c r="N6" s="10">
        <v>123930</v>
      </c>
      <c r="O6" s="10">
        <v>1</v>
      </c>
      <c r="P6" s="10">
        <v>5100000</v>
      </c>
      <c r="Q6" s="10">
        <v>6.8500000000000005E-2</v>
      </c>
    </row>
    <row r="7" spans="1:17" x14ac:dyDescent="0.35">
      <c r="A7" s="10" t="s">
        <v>1309</v>
      </c>
      <c r="B7" s="10" t="s">
        <v>403</v>
      </c>
      <c r="C7" s="10" t="s">
        <v>660</v>
      </c>
      <c r="D7" s="10">
        <v>4</v>
      </c>
      <c r="E7" s="10" t="s">
        <v>1554</v>
      </c>
      <c r="F7" s="10" t="s">
        <v>1555</v>
      </c>
      <c r="G7" s="10">
        <v>2600000</v>
      </c>
      <c r="H7" s="10">
        <v>1400000</v>
      </c>
      <c r="I7" s="10">
        <v>3300000</v>
      </c>
      <c r="J7" s="10">
        <v>8.0000000000000002E-3</v>
      </c>
      <c r="K7" s="10">
        <v>8.0000000000000002E-3</v>
      </c>
      <c r="L7" s="10">
        <v>1.7999999999999999E-2</v>
      </c>
      <c r="M7" s="10">
        <v>0.45</v>
      </c>
      <c r="N7" s="10">
        <v>26730</v>
      </c>
      <c r="O7" s="10">
        <v>1</v>
      </c>
      <c r="P7" s="10">
        <v>3300000</v>
      </c>
      <c r="Q7" s="10">
        <v>7.3999999999999996E-2</v>
      </c>
    </row>
    <row r="8" spans="1:17" x14ac:dyDescent="0.35">
      <c r="A8" s="10" t="s">
        <v>1309</v>
      </c>
      <c r="B8" s="10" t="s">
        <v>403</v>
      </c>
      <c r="C8" s="10" t="s">
        <v>660</v>
      </c>
      <c r="D8" s="10">
        <v>4</v>
      </c>
      <c r="E8" s="10" t="s">
        <v>1554</v>
      </c>
      <c r="F8" s="10" t="s">
        <v>1556</v>
      </c>
      <c r="G8" s="10">
        <v>2600000</v>
      </c>
      <c r="H8" s="10">
        <v>1400000</v>
      </c>
      <c r="I8" s="10">
        <v>3300000</v>
      </c>
      <c r="J8" s="10">
        <v>8.0000000000000002E-3</v>
      </c>
      <c r="K8" s="10">
        <v>1.44E-2</v>
      </c>
      <c r="L8" s="10">
        <v>3.2399999999999998E-2</v>
      </c>
      <c r="M8" s="10">
        <v>0.45</v>
      </c>
      <c r="N8" s="10">
        <v>48114</v>
      </c>
      <c r="O8" s="10">
        <v>1</v>
      </c>
      <c r="P8" s="10">
        <v>3300000</v>
      </c>
      <c r="Q8" s="10">
        <v>7.3999999999999996E-2</v>
      </c>
    </row>
    <row r="9" spans="1:17" x14ac:dyDescent="0.35">
      <c r="A9" s="10" t="s">
        <v>1309</v>
      </c>
      <c r="B9" s="10" t="s">
        <v>403</v>
      </c>
      <c r="C9" s="10" t="s">
        <v>660</v>
      </c>
      <c r="D9" s="10">
        <v>4</v>
      </c>
      <c r="E9" s="10" t="s">
        <v>1554</v>
      </c>
      <c r="F9" s="10" t="s">
        <v>484</v>
      </c>
      <c r="G9" s="10">
        <v>2600000</v>
      </c>
      <c r="H9" s="10">
        <v>1400000</v>
      </c>
      <c r="I9" s="10">
        <v>3300000</v>
      </c>
      <c r="J9" s="10">
        <v>8.0000000000000002E-3</v>
      </c>
      <c r="K9" s="10">
        <v>2.4E-2</v>
      </c>
      <c r="L9" s="10">
        <v>5.3999999999999999E-2</v>
      </c>
      <c r="M9" s="10">
        <v>0.45</v>
      </c>
      <c r="N9" s="10">
        <v>80190</v>
      </c>
      <c r="O9" s="10">
        <v>1</v>
      </c>
      <c r="P9" s="10">
        <v>3300000</v>
      </c>
      <c r="Q9" s="10">
        <v>7.3999999999999996E-2</v>
      </c>
    </row>
    <row r="10" spans="1:17" x14ac:dyDescent="0.35">
      <c r="A10" s="10" t="s">
        <v>1312</v>
      </c>
      <c r="B10" s="10" t="s">
        <v>403</v>
      </c>
      <c r="C10" s="10" t="s">
        <v>660</v>
      </c>
      <c r="D10" s="10">
        <v>5</v>
      </c>
      <c r="E10" s="10" t="s">
        <v>1554</v>
      </c>
      <c r="F10" s="10" t="s">
        <v>1555</v>
      </c>
      <c r="G10" s="10">
        <v>3100000</v>
      </c>
      <c r="H10" s="10">
        <v>1900000</v>
      </c>
      <c r="I10" s="10">
        <v>4050000</v>
      </c>
      <c r="J10" s="10">
        <v>0.02</v>
      </c>
      <c r="K10" s="10">
        <v>0.02</v>
      </c>
      <c r="L10" s="10">
        <v>4.4999999999999998E-2</v>
      </c>
      <c r="M10" s="10">
        <v>0.44444400000000001</v>
      </c>
      <c r="N10" s="10">
        <v>81000</v>
      </c>
      <c r="O10" s="10">
        <v>1</v>
      </c>
      <c r="P10" s="10">
        <v>4050000</v>
      </c>
      <c r="Q10" s="10">
        <v>7.5999999999999998E-2</v>
      </c>
    </row>
    <row r="11" spans="1:17" x14ac:dyDescent="0.35">
      <c r="A11" s="10" t="s">
        <v>1312</v>
      </c>
      <c r="B11" s="10" t="s">
        <v>403</v>
      </c>
      <c r="C11" s="10" t="s">
        <v>660</v>
      </c>
      <c r="D11" s="10">
        <v>5</v>
      </c>
      <c r="E11" s="10" t="s">
        <v>1554</v>
      </c>
      <c r="F11" s="10" t="s">
        <v>1556</v>
      </c>
      <c r="G11" s="10">
        <v>3100000</v>
      </c>
      <c r="H11" s="10">
        <v>1900000</v>
      </c>
      <c r="I11" s="10">
        <v>4050000</v>
      </c>
      <c r="J11" s="10">
        <v>0.02</v>
      </c>
      <c r="K11" s="10">
        <v>3.5999999999999997E-2</v>
      </c>
      <c r="L11" s="10">
        <v>8.1000000000000003E-2</v>
      </c>
      <c r="M11" s="10">
        <v>0.45</v>
      </c>
      <c r="N11" s="10">
        <v>147622.5</v>
      </c>
      <c r="O11" s="10">
        <v>1</v>
      </c>
      <c r="P11" s="10">
        <v>4050000</v>
      </c>
      <c r="Q11" s="10">
        <v>7.5999999999999998E-2</v>
      </c>
    </row>
    <row r="12" spans="1:17" x14ac:dyDescent="0.35">
      <c r="A12" s="10" t="s">
        <v>1312</v>
      </c>
      <c r="B12" s="10" t="s">
        <v>403</v>
      </c>
      <c r="C12" s="10" t="s">
        <v>660</v>
      </c>
      <c r="D12" s="10">
        <v>5</v>
      </c>
      <c r="E12" s="10" t="s">
        <v>1554</v>
      </c>
      <c r="F12" s="10" t="s">
        <v>484</v>
      </c>
      <c r="G12" s="10">
        <v>3100000</v>
      </c>
      <c r="H12" s="10">
        <v>1900000</v>
      </c>
      <c r="I12" s="10">
        <v>4050000</v>
      </c>
      <c r="J12" s="10">
        <v>0.02</v>
      </c>
      <c r="K12" s="10">
        <v>0.06</v>
      </c>
      <c r="L12" s="10">
        <v>0.13500000000000001</v>
      </c>
      <c r="M12" s="10">
        <v>0.45</v>
      </c>
      <c r="N12" s="10">
        <v>246037.5</v>
      </c>
      <c r="O12" s="10">
        <v>1</v>
      </c>
      <c r="P12" s="10">
        <v>4050000</v>
      </c>
      <c r="Q12" s="10">
        <v>7.5999999999999998E-2</v>
      </c>
    </row>
    <row r="13" spans="1:17" x14ac:dyDescent="0.35">
      <c r="A13" s="10" t="s">
        <v>1315</v>
      </c>
      <c r="B13" s="10" t="s">
        <v>1557</v>
      </c>
      <c r="C13" s="10" t="s">
        <v>474</v>
      </c>
      <c r="D13" s="10">
        <v>4</v>
      </c>
      <c r="E13" s="10" t="s">
        <v>1554</v>
      </c>
      <c r="F13" s="10" t="s">
        <v>1555</v>
      </c>
      <c r="G13" s="10">
        <v>16200000</v>
      </c>
      <c r="H13" s="10">
        <v>1800000</v>
      </c>
      <c r="I13" s="10">
        <v>17100000</v>
      </c>
      <c r="J13" s="10">
        <v>8.0000000000000002E-3</v>
      </c>
      <c r="K13" s="10">
        <v>8.0000000000000002E-3</v>
      </c>
      <c r="L13" s="10">
        <v>1.7999999999999999E-2</v>
      </c>
      <c r="M13" s="10">
        <v>0.1</v>
      </c>
      <c r="N13" s="10">
        <v>30780</v>
      </c>
      <c r="O13" s="10">
        <v>1</v>
      </c>
      <c r="P13" s="10">
        <v>17100000</v>
      </c>
      <c r="Q13" s="10">
        <v>5.2499999999999998E-2</v>
      </c>
    </row>
    <row r="14" spans="1:17" x14ac:dyDescent="0.35">
      <c r="A14" s="10" t="s">
        <v>1315</v>
      </c>
      <c r="B14" s="10" t="s">
        <v>1557</v>
      </c>
      <c r="C14" s="10" t="s">
        <v>474</v>
      </c>
      <c r="D14" s="10">
        <v>4</v>
      </c>
      <c r="E14" s="10" t="s">
        <v>1554</v>
      </c>
      <c r="F14" s="10" t="s">
        <v>1556</v>
      </c>
      <c r="G14" s="10">
        <v>16200000</v>
      </c>
      <c r="H14" s="10">
        <v>1800000</v>
      </c>
      <c r="I14" s="10">
        <v>17100000</v>
      </c>
      <c r="J14" s="10">
        <v>8.0000000000000002E-3</v>
      </c>
      <c r="K14" s="10">
        <v>1.6E-2</v>
      </c>
      <c r="L14" s="10">
        <v>3.5999999999999997E-2</v>
      </c>
      <c r="M14" s="10">
        <v>0.1</v>
      </c>
      <c r="N14" s="10">
        <v>61560</v>
      </c>
      <c r="O14" s="10">
        <v>1</v>
      </c>
      <c r="P14" s="10">
        <v>17100000</v>
      </c>
      <c r="Q14" s="10">
        <v>5.2499999999999998E-2</v>
      </c>
    </row>
    <row r="15" spans="1:17" x14ac:dyDescent="0.35">
      <c r="A15" s="10" t="s">
        <v>1315</v>
      </c>
      <c r="B15" s="10" t="s">
        <v>1557</v>
      </c>
      <c r="C15" s="10" t="s">
        <v>474</v>
      </c>
      <c r="D15" s="10">
        <v>4</v>
      </c>
      <c r="E15" s="10" t="s">
        <v>1554</v>
      </c>
      <c r="F15" s="10" t="s">
        <v>484</v>
      </c>
      <c r="G15" s="10">
        <v>16200000</v>
      </c>
      <c r="H15" s="10">
        <v>1800000</v>
      </c>
      <c r="I15" s="10">
        <v>17100000</v>
      </c>
      <c r="J15" s="10">
        <v>8.0000000000000002E-3</v>
      </c>
      <c r="K15" s="10">
        <v>2.8000000000000001E-2</v>
      </c>
      <c r="L15" s="10">
        <v>6.3E-2</v>
      </c>
      <c r="M15" s="10">
        <v>0.21052599999999999</v>
      </c>
      <c r="N15" s="10">
        <v>226800</v>
      </c>
      <c r="O15" s="10">
        <v>1</v>
      </c>
      <c r="P15" s="10">
        <v>17100000</v>
      </c>
      <c r="Q15" s="10">
        <v>5.2499999999999998E-2</v>
      </c>
    </row>
    <row r="16" spans="1:17" x14ac:dyDescent="0.35">
      <c r="A16" s="10" t="s">
        <v>1319</v>
      </c>
      <c r="B16" s="10" t="s">
        <v>403</v>
      </c>
      <c r="C16" s="10" t="s">
        <v>399</v>
      </c>
      <c r="D16" s="10">
        <v>6</v>
      </c>
      <c r="E16" s="10" t="s">
        <v>1554</v>
      </c>
      <c r="F16" s="10" t="s">
        <v>1555</v>
      </c>
      <c r="G16" s="10">
        <v>2150000</v>
      </c>
      <c r="H16" s="10">
        <v>1350000</v>
      </c>
      <c r="I16" s="10">
        <v>2825000</v>
      </c>
      <c r="J16" s="10">
        <v>0.04</v>
      </c>
      <c r="K16" s="10">
        <v>0.04</v>
      </c>
      <c r="L16" s="10">
        <v>0.09</v>
      </c>
      <c r="M16" s="10">
        <v>0.42654900000000001</v>
      </c>
      <c r="N16" s="10">
        <v>108450</v>
      </c>
      <c r="O16" s="10">
        <v>1</v>
      </c>
      <c r="P16" s="10">
        <v>2825000</v>
      </c>
      <c r="Q16" s="10">
        <v>7.0999999999999994E-2</v>
      </c>
    </row>
    <row r="17" spans="1:17" x14ac:dyDescent="0.35">
      <c r="A17" s="10" t="s">
        <v>1319</v>
      </c>
      <c r="B17" s="10" t="s">
        <v>403</v>
      </c>
      <c r="C17" s="10" t="s">
        <v>399</v>
      </c>
      <c r="D17" s="10">
        <v>6</v>
      </c>
      <c r="E17" s="10" t="s">
        <v>1554</v>
      </c>
      <c r="F17" s="10" t="s">
        <v>1556</v>
      </c>
      <c r="G17" s="10">
        <v>2150000</v>
      </c>
      <c r="H17" s="10">
        <v>1350000</v>
      </c>
      <c r="I17" s="10">
        <v>2825000</v>
      </c>
      <c r="J17" s="10">
        <v>0.04</v>
      </c>
      <c r="K17" s="10">
        <v>7.1999999999999995E-2</v>
      </c>
      <c r="L17" s="10">
        <v>0.16200000000000001</v>
      </c>
      <c r="M17" s="10">
        <v>0.45</v>
      </c>
      <c r="N17" s="10">
        <v>205942.5</v>
      </c>
      <c r="O17" s="10">
        <v>1</v>
      </c>
      <c r="P17" s="10">
        <v>2825000</v>
      </c>
      <c r="Q17" s="10">
        <v>7.0999999999999994E-2</v>
      </c>
    </row>
    <row r="18" spans="1:17" x14ac:dyDescent="0.35">
      <c r="A18" s="10" t="s">
        <v>1319</v>
      </c>
      <c r="B18" s="10" t="s">
        <v>403</v>
      </c>
      <c r="C18" s="10" t="s">
        <v>399</v>
      </c>
      <c r="D18" s="10">
        <v>6</v>
      </c>
      <c r="E18" s="10" t="s">
        <v>1554</v>
      </c>
      <c r="F18" s="10" t="s">
        <v>484</v>
      </c>
      <c r="G18" s="10">
        <v>2150000</v>
      </c>
      <c r="H18" s="10">
        <v>1350000</v>
      </c>
      <c r="I18" s="10">
        <v>2825000</v>
      </c>
      <c r="J18" s="10">
        <v>0.04</v>
      </c>
      <c r="K18" s="10">
        <v>0.12</v>
      </c>
      <c r="L18" s="10">
        <v>0.27</v>
      </c>
      <c r="M18" s="10">
        <v>0.45</v>
      </c>
      <c r="N18" s="10">
        <v>343237.5</v>
      </c>
      <c r="O18" s="10">
        <v>1</v>
      </c>
      <c r="P18" s="10">
        <v>2825000</v>
      </c>
      <c r="Q18" s="10">
        <v>7.0999999999999994E-2</v>
      </c>
    </row>
    <row r="19" spans="1:17" x14ac:dyDescent="0.35">
      <c r="A19" s="10" t="s">
        <v>1322</v>
      </c>
      <c r="B19" s="10" t="s">
        <v>403</v>
      </c>
      <c r="C19" s="10" t="s">
        <v>660</v>
      </c>
      <c r="D19" s="10">
        <v>3</v>
      </c>
      <c r="E19" s="10" t="s">
        <v>1554</v>
      </c>
      <c r="F19" s="10" t="s">
        <v>1555</v>
      </c>
      <c r="G19" s="10">
        <v>3900000</v>
      </c>
      <c r="H19" s="10">
        <v>3600000</v>
      </c>
      <c r="I19" s="10">
        <v>5700000</v>
      </c>
      <c r="J19" s="10">
        <v>3.0000000000000001E-3</v>
      </c>
      <c r="K19" s="10">
        <v>3.0000000000000001E-3</v>
      </c>
      <c r="L19" s="10">
        <v>6.7499999999999999E-3</v>
      </c>
      <c r="M19" s="10">
        <v>0.45</v>
      </c>
      <c r="N19" s="10">
        <v>17313.75</v>
      </c>
      <c r="O19" s="10">
        <v>1</v>
      </c>
      <c r="P19" s="10">
        <v>5700000</v>
      </c>
      <c r="Q19" s="10">
        <v>6.9000000000000006E-2</v>
      </c>
    </row>
    <row r="20" spans="1:17" x14ac:dyDescent="0.35">
      <c r="A20" s="10" t="s">
        <v>1322</v>
      </c>
      <c r="B20" s="10" t="s">
        <v>403</v>
      </c>
      <c r="C20" s="10" t="s">
        <v>660</v>
      </c>
      <c r="D20" s="10">
        <v>3</v>
      </c>
      <c r="E20" s="10" t="s">
        <v>1554</v>
      </c>
      <c r="F20" s="10" t="s">
        <v>1556</v>
      </c>
      <c r="G20" s="10">
        <v>3900000</v>
      </c>
      <c r="H20" s="10">
        <v>3600000</v>
      </c>
      <c r="I20" s="10">
        <v>5700000</v>
      </c>
      <c r="J20" s="10">
        <v>3.0000000000000001E-3</v>
      </c>
      <c r="K20" s="10">
        <v>5.4000000000000003E-3</v>
      </c>
      <c r="L20" s="10">
        <v>1.2149999999999999E-2</v>
      </c>
      <c r="M20" s="10">
        <v>0.45</v>
      </c>
      <c r="N20" s="10">
        <v>31164.75</v>
      </c>
      <c r="O20" s="10">
        <v>1</v>
      </c>
      <c r="P20" s="10">
        <v>5700000</v>
      </c>
      <c r="Q20" s="10">
        <v>6.9000000000000006E-2</v>
      </c>
    </row>
    <row r="21" spans="1:17" x14ac:dyDescent="0.35">
      <c r="A21" s="10" t="s">
        <v>1322</v>
      </c>
      <c r="B21" s="10" t="s">
        <v>403</v>
      </c>
      <c r="C21" s="10" t="s">
        <v>660</v>
      </c>
      <c r="D21" s="10">
        <v>3</v>
      </c>
      <c r="E21" s="10" t="s">
        <v>1554</v>
      </c>
      <c r="F21" s="10" t="s">
        <v>484</v>
      </c>
      <c r="G21" s="10">
        <v>3900000</v>
      </c>
      <c r="H21" s="10">
        <v>3600000</v>
      </c>
      <c r="I21" s="10">
        <v>5700000</v>
      </c>
      <c r="J21" s="10">
        <v>3.0000000000000001E-3</v>
      </c>
      <c r="K21" s="10">
        <v>8.9999999999999993E-3</v>
      </c>
      <c r="L21" s="10">
        <v>2.0250000000000001E-2</v>
      </c>
      <c r="M21" s="10">
        <v>0.45</v>
      </c>
      <c r="N21" s="10">
        <v>51941.25</v>
      </c>
      <c r="O21" s="10">
        <v>1</v>
      </c>
      <c r="P21" s="10">
        <v>5700000</v>
      </c>
      <c r="Q21" s="10">
        <v>6.9000000000000006E-2</v>
      </c>
    </row>
    <row r="22" spans="1:17" x14ac:dyDescent="0.35">
      <c r="A22" s="10" t="s">
        <v>1325</v>
      </c>
      <c r="B22" s="10" t="s">
        <v>1557</v>
      </c>
      <c r="C22" s="10" t="s">
        <v>1558</v>
      </c>
      <c r="D22" s="10">
        <v>4</v>
      </c>
      <c r="E22" s="10" t="s">
        <v>1554</v>
      </c>
      <c r="F22" s="10" t="s">
        <v>1555</v>
      </c>
      <c r="G22" s="10">
        <v>19800000</v>
      </c>
      <c r="H22" s="10">
        <v>2200000</v>
      </c>
      <c r="I22" s="10">
        <v>20900000</v>
      </c>
      <c r="J22" s="10">
        <v>8.0000000000000002E-3</v>
      </c>
      <c r="K22" s="10">
        <v>8.0000000000000002E-3</v>
      </c>
      <c r="L22" s="10">
        <v>1.7999999999999999E-2</v>
      </c>
      <c r="M22" s="10">
        <v>0.1</v>
      </c>
      <c r="N22" s="10">
        <v>37620</v>
      </c>
      <c r="O22" s="10">
        <v>1</v>
      </c>
      <c r="P22" s="10">
        <v>20900000</v>
      </c>
      <c r="Q22" s="10">
        <v>4.7500000000000001E-2</v>
      </c>
    </row>
    <row r="23" spans="1:17" x14ac:dyDescent="0.35">
      <c r="A23" s="10" t="s">
        <v>1325</v>
      </c>
      <c r="B23" s="10" t="s">
        <v>1557</v>
      </c>
      <c r="C23" s="10" t="s">
        <v>1558</v>
      </c>
      <c r="D23" s="10">
        <v>4</v>
      </c>
      <c r="E23" s="10" t="s">
        <v>1554</v>
      </c>
      <c r="F23" s="10" t="s">
        <v>1556</v>
      </c>
      <c r="G23" s="10">
        <v>19800000</v>
      </c>
      <c r="H23" s="10">
        <v>2200000</v>
      </c>
      <c r="I23" s="10">
        <v>20900000</v>
      </c>
      <c r="J23" s="10">
        <v>8.0000000000000002E-3</v>
      </c>
      <c r="K23" s="10">
        <v>1.6E-2</v>
      </c>
      <c r="L23" s="10">
        <v>3.5999999999999997E-2</v>
      </c>
      <c r="M23" s="10">
        <v>0.1</v>
      </c>
      <c r="N23" s="10">
        <v>75240</v>
      </c>
      <c r="O23" s="10">
        <v>1</v>
      </c>
      <c r="P23" s="10">
        <v>20900000</v>
      </c>
      <c r="Q23" s="10">
        <v>4.7500000000000001E-2</v>
      </c>
    </row>
    <row r="24" spans="1:17" x14ac:dyDescent="0.35">
      <c r="A24" s="10" t="s">
        <v>1325</v>
      </c>
      <c r="B24" s="10" t="s">
        <v>1557</v>
      </c>
      <c r="C24" s="10" t="s">
        <v>1558</v>
      </c>
      <c r="D24" s="10">
        <v>4</v>
      </c>
      <c r="E24" s="10" t="s">
        <v>1554</v>
      </c>
      <c r="F24" s="10" t="s">
        <v>484</v>
      </c>
      <c r="G24" s="10">
        <v>19800000</v>
      </c>
      <c r="H24" s="10">
        <v>2200000</v>
      </c>
      <c r="I24" s="10">
        <v>20900000</v>
      </c>
      <c r="J24" s="10">
        <v>8.0000000000000002E-3</v>
      </c>
      <c r="K24" s="10">
        <v>2.8000000000000001E-2</v>
      </c>
      <c r="L24" s="10">
        <v>6.3E-2</v>
      </c>
      <c r="M24" s="10">
        <v>0.147368</v>
      </c>
      <c r="N24" s="10">
        <v>194040</v>
      </c>
      <c r="O24" s="10">
        <v>1</v>
      </c>
      <c r="P24" s="10">
        <v>20900000</v>
      </c>
      <c r="Q24" s="10">
        <v>4.7500000000000001E-2</v>
      </c>
    </row>
    <row r="25" spans="1:17" x14ac:dyDescent="0.35">
      <c r="A25" s="10" t="s">
        <v>1328</v>
      </c>
      <c r="B25" s="10" t="s">
        <v>403</v>
      </c>
      <c r="C25" s="10" t="s">
        <v>660</v>
      </c>
      <c r="D25" s="10">
        <v>5</v>
      </c>
      <c r="E25" s="10" t="s">
        <v>1554</v>
      </c>
      <c r="F25" s="10" t="s">
        <v>1555</v>
      </c>
      <c r="G25" s="10">
        <v>2750000</v>
      </c>
      <c r="H25" s="10">
        <v>250000</v>
      </c>
      <c r="I25" s="10">
        <v>2875000</v>
      </c>
      <c r="J25" s="10">
        <v>0.02</v>
      </c>
      <c r="K25" s="10">
        <v>0.02</v>
      </c>
      <c r="L25" s="10">
        <v>4.4999999999999998E-2</v>
      </c>
      <c r="M25" s="10">
        <v>0.45</v>
      </c>
      <c r="N25" s="10">
        <v>58218.75</v>
      </c>
      <c r="O25" s="10">
        <v>1</v>
      </c>
      <c r="P25" s="10">
        <v>2875000</v>
      </c>
      <c r="Q25" s="10">
        <v>7.7499999999999999E-2</v>
      </c>
    </row>
    <row r="26" spans="1:17" x14ac:dyDescent="0.35">
      <c r="A26" s="10" t="s">
        <v>1328</v>
      </c>
      <c r="B26" s="10" t="s">
        <v>403</v>
      </c>
      <c r="C26" s="10" t="s">
        <v>660</v>
      </c>
      <c r="D26" s="10">
        <v>5</v>
      </c>
      <c r="E26" s="10" t="s">
        <v>1554</v>
      </c>
      <c r="F26" s="10" t="s">
        <v>1556</v>
      </c>
      <c r="G26" s="10">
        <v>2750000</v>
      </c>
      <c r="H26" s="10">
        <v>250000</v>
      </c>
      <c r="I26" s="10">
        <v>2875000</v>
      </c>
      <c r="J26" s="10">
        <v>0.02</v>
      </c>
      <c r="K26" s="10">
        <v>3.5999999999999997E-2</v>
      </c>
      <c r="L26" s="10">
        <v>8.1000000000000003E-2</v>
      </c>
      <c r="M26" s="10">
        <v>0.45</v>
      </c>
      <c r="N26" s="10">
        <v>104793.75</v>
      </c>
      <c r="O26" s="10">
        <v>1</v>
      </c>
      <c r="P26" s="10">
        <v>2875000</v>
      </c>
      <c r="Q26" s="10">
        <v>7.7499999999999999E-2</v>
      </c>
    </row>
    <row r="27" spans="1:17" x14ac:dyDescent="0.35">
      <c r="A27" s="10" t="s">
        <v>1328</v>
      </c>
      <c r="B27" s="10" t="s">
        <v>403</v>
      </c>
      <c r="C27" s="10" t="s">
        <v>660</v>
      </c>
      <c r="D27" s="10">
        <v>5</v>
      </c>
      <c r="E27" s="10" t="s">
        <v>1554</v>
      </c>
      <c r="F27" s="10" t="s">
        <v>484</v>
      </c>
      <c r="G27" s="10">
        <v>2750000</v>
      </c>
      <c r="H27" s="10">
        <v>250000</v>
      </c>
      <c r="I27" s="10">
        <v>2875000</v>
      </c>
      <c r="J27" s="10">
        <v>0.02</v>
      </c>
      <c r="K27" s="10">
        <v>0.06</v>
      </c>
      <c r="L27" s="10">
        <v>0.13500000000000001</v>
      </c>
      <c r="M27" s="10">
        <v>0.45</v>
      </c>
      <c r="N27" s="10">
        <v>174656.25</v>
      </c>
      <c r="O27" s="10">
        <v>1</v>
      </c>
      <c r="P27" s="10">
        <v>2875000</v>
      </c>
      <c r="Q27" s="10">
        <v>7.7499999999999999E-2</v>
      </c>
    </row>
    <row r="28" spans="1:17" x14ac:dyDescent="0.35">
      <c r="A28" s="10" t="s">
        <v>1331</v>
      </c>
      <c r="B28" s="10" t="s">
        <v>1557</v>
      </c>
      <c r="C28" s="10" t="s">
        <v>665</v>
      </c>
      <c r="D28" s="10">
        <v>6</v>
      </c>
      <c r="E28" s="10" t="s">
        <v>1554</v>
      </c>
      <c r="F28" s="10" t="s">
        <v>1555</v>
      </c>
      <c r="G28" s="10">
        <v>13100000</v>
      </c>
      <c r="H28" s="10">
        <v>1900000</v>
      </c>
      <c r="I28" s="10">
        <v>14050000</v>
      </c>
      <c r="J28" s="10">
        <v>0.04</v>
      </c>
      <c r="K28" s="10">
        <v>0.04</v>
      </c>
      <c r="L28" s="10">
        <v>0.09</v>
      </c>
      <c r="M28" s="10">
        <v>0.1</v>
      </c>
      <c r="N28" s="10">
        <v>126450</v>
      </c>
      <c r="O28" s="10">
        <v>1</v>
      </c>
      <c r="P28" s="10">
        <v>14050000</v>
      </c>
      <c r="Q28" s="10">
        <v>5.6000000000000001E-2</v>
      </c>
    </row>
    <row r="29" spans="1:17" x14ac:dyDescent="0.35">
      <c r="A29" s="10" t="s">
        <v>1331</v>
      </c>
      <c r="B29" s="10" t="s">
        <v>1557</v>
      </c>
      <c r="C29" s="10" t="s">
        <v>665</v>
      </c>
      <c r="D29" s="10">
        <v>6</v>
      </c>
      <c r="E29" s="10" t="s">
        <v>1554</v>
      </c>
      <c r="F29" s="10" t="s">
        <v>1556</v>
      </c>
      <c r="G29" s="10">
        <v>13100000</v>
      </c>
      <c r="H29" s="10">
        <v>1900000</v>
      </c>
      <c r="I29" s="10">
        <v>14050000</v>
      </c>
      <c r="J29" s="10">
        <v>0.04</v>
      </c>
      <c r="K29" s="10">
        <v>0.08</v>
      </c>
      <c r="L29" s="10">
        <v>0.18</v>
      </c>
      <c r="M29" s="10">
        <v>0.1</v>
      </c>
      <c r="N29" s="10">
        <v>252900</v>
      </c>
      <c r="O29" s="10">
        <v>1</v>
      </c>
      <c r="P29" s="10">
        <v>14050000</v>
      </c>
      <c r="Q29" s="10">
        <v>5.6000000000000001E-2</v>
      </c>
    </row>
    <row r="30" spans="1:17" x14ac:dyDescent="0.35">
      <c r="A30" s="10" t="s">
        <v>1331</v>
      </c>
      <c r="B30" s="10" t="s">
        <v>1557</v>
      </c>
      <c r="C30" s="10" t="s">
        <v>665</v>
      </c>
      <c r="D30" s="10">
        <v>6</v>
      </c>
      <c r="E30" s="10" t="s">
        <v>1554</v>
      </c>
      <c r="F30" s="10" t="s">
        <v>484</v>
      </c>
      <c r="G30" s="10">
        <v>13100000</v>
      </c>
      <c r="H30" s="10">
        <v>1900000</v>
      </c>
      <c r="I30" s="10">
        <v>14050000</v>
      </c>
      <c r="J30" s="10">
        <v>0.04</v>
      </c>
      <c r="K30" s="10">
        <v>0.14000000000000001</v>
      </c>
      <c r="L30" s="10">
        <v>0.315</v>
      </c>
      <c r="M30" s="10">
        <v>0.26975100000000002</v>
      </c>
      <c r="N30" s="10">
        <v>1193850</v>
      </c>
      <c r="O30" s="10">
        <v>1</v>
      </c>
      <c r="P30" s="10">
        <v>14050000</v>
      </c>
      <c r="Q30" s="10">
        <v>5.6000000000000001E-2</v>
      </c>
    </row>
    <row r="31" spans="1:17" x14ac:dyDescent="0.35">
      <c r="A31" s="10" t="s">
        <v>1334</v>
      </c>
      <c r="B31" s="10" t="s">
        <v>403</v>
      </c>
      <c r="C31" s="10" t="s">
        <v>660</v>
      </c>
      <c r="D31" s="10">
        <v>5</v>
      </c>
      <c r="E31" s="10" t="s">
        <v>1554</v>
      </c>
      <c r="F31" s="10" t="s">
        <v>1555</v>
      </c>
      <c r="G31" s="10">
        <v>4350000</v>
      </c>
      <c r="H31" s="10">
        <v>150000</v>
      </c>
      <c r="I31" s="10">
        <v>4425000</v>
      </c>
      <c r="J31" s="10">
        <v>0.02</v>
      </c>
      <c r="K31" s="10">
        <v>0.02</v>
      </c>
      <c r="L31" s="10">
        <v>4.4999999999999998E-2</v>
      </c>
      <c r="M31" s="10">
        <v>0.45</v>
      </c>
      <c r="N31" s="10">
        <v>89606.25</v>
      </c>
      <c r="O31" s="10">
        <v>1</v>
      </c>
      <c r="P31" s="10">
        <v>4425000</v>
      </c>
      <c r="Q31" s="10">
        <v>7.4999999999999997E-2</v>
      </c>
    </row>
    <row r="32" spans="1:17" x14ac:dyDescent="0.35">
      <c r="A32" s="10" t="s">
        <v>1334</v>
      </c>
      <c r="B32" s="10" t="s">
        <v>403</v>
      </c>
      <c r="C32" s="10" t="s">
        <v>660</v>
      </c>
      <c r="D32" s="10">
        <v>5</v>
      </c>
      <c r="E32" s="10" t="s">
        <v>1554</v>
      </c>
      <c r="F32" s="10" t="s">
        <v>1556</v>
      </c>
      <c r="G32" s="10">
        <v>4350000</v>
      </c>
      <c r="H32" s="10">
        <v>150000</v>
      </c>
      <c r="I32" s="10">
        <v>4425000</v>
      </c>
      <c r="J32" s="10">
        <v>0.02</v>
      </c>
      <c r="K32" s="10">
        <v>3.5999999999999997E-2</v>
      </c>
      <c r="L32" s="10">
        <v>8.1000000000000003E-2</v>
      </c>
      <c r="M32" s="10">
        <v>0.45</v>
      </c>
      <c r="N32" s="10">
        <v>161291.25</v>
      </c>
      <c r="O32" s="10">
        <v>1</v>
      </c>
      <c r="P32" s="10">
        <v>4425000</v>
      </c>
      <c r="Q32" s="10">
        <v>7.4999999999999997E-2</v>
      </c>
    </row>
    <row r="33" spans="1:17" x14ac:dyDescent="0.35">
      <c r="A33" s="10" t="s">
        <v>1334</v>
      </c>
      <c r="B33" s="10" t="s">
        <v>403</v>
      </c>
      <c r="C33" s="10" t="s">
        <v>660</v>
      </c>
      <c r="D33" s="10">
        <v>5</v>
      </c>
      <c r="E33" s="10" t="s">
        <v>1554</v>
      </c>
      <c r="F33" s="10" t="s">
        <v>484</v>
      </c>
      <c r="G33" s="10">
        <v>4350000</v>
      </c>
      <c r="H33" s="10">
        <v>150000</v>
      </c>
      <c r="I33" s="10">
        <v>4425000</v>
      </c>
      <c r="J33" s="10">
        <v>0.02</v>
      </c>
      <c r="K33" s="10">
        <v>0.06</v>
      </c>
      <c r="L33" s="10">
        <v>0.13500000000000001</v>
      </c>
      <c r="M33" s="10">
        <v>0.45</v>
      </c>
      <c r="N33" s="10">
        <v>268818.75</v>
      </c>
      <c r="O33" s="10">
        <v>1</v>
      </c>
      <c r="P33" s="10">
        <v>4425000</v>
      </c>
      <c r="Q33" s="10">
        <v>7.4999999999999997E-2</v>
      </c>
    </row>
    <row r="34" spans="1:17" x14ac:dyDescent="0.35">
      <c r="A34" s="10" t="s">
        <v>1337</v>
      </c>
      <c r="B34" s="10" t="s">
        <v>1557</v>
      </c>
      <c r="C34" s="10" t="s">
        <v>667</v>
      </c>
      <c r="D34" s="10">
        <v>3</v>
      </c>
      <c r="E34" s="10" t="s">
        <v>1554</v>
      </c>
      <c r="F34" s="10" t="s">
        <v>1555</v>
      </c>
      <c r="G34" s="10">
        <v>18300000</v>
      </c>
      <c r="H34" s="10">
        <v>1700000</v>
      </c>
      <c r="I34" s="10">
        <v>19150000</v>
      </c>
      <c r="J34" s="10">
        <v>3.0000000000000001E-3</v>
      </c>
      <c r="K34" s="10">
        <v>3.0000000000000001E-3</v>
      </c>
      <c r="L34" s="10">
        <v>6.7499999999999999E-3</v>
      </c>
      <c r="M34" s="10">
        <v>0.1</v>
      </c>
      <c r="N34" s="10">
        <v>12926.25</v>
      </c>
      <c r="O34" s="10">
        <v>1</v>
      </c>
      <c r="P34" s="10">
        <v>19150000</v>
      </c>
      <c r="Q34" s="10">
        <v>5.0999999999999997E-2</v>
      </c>
    </row>
    <row r="35" spans="1:17" x14ac:dyDescent="0.35">
      <c r="A35" s="10" t="s">
        <v>1337</v>
      </c>
      <c r="B35" s="10" t="s">
        <v>1557</v>
      </c>
      <c r="C35" s="10" t="s">
        <v>667</v>
      </c>
      <c r="D35" s="10">
        <v>3</v>
      </c>
      <c r="E35" s="10" t="s">
        <v>1554</v>
      </c>
      <c r="F35" s="10" t="s">
        <v>1556</v>
      </c>
      <c r="G35" s="10">
        <v>18300000</v>
      </c>
      <c r="H35" s="10">
        <v>1700000</v>
      </c>
      <c r="I35" s="10">
        <v>19150000</v>
      </c>
      <c r="J35" s="10">
        <v>3.0000000000000001E-3</v>
      </c>
      <c r="K35" s="10">
        <v>6.0000000000000001E-3</v>
      </c>
      <c r="L35" s="10">
        <v>1.35E-2</v>
      </c>
      <c r="M35" s="10">
        <v>0.1</v>
      </c>
      <c r="N35" s="10">
        <v>25852.5</v>
      </c>
      <c r="O35" s="10">
        <v>1</v>
      </c>
      <c r="P35" s="10">
        <v>19150000</v>
      </c>
      <c r="Q35" s="10">
        <v>5.0999999999999997E-2</v>
      </c>
    </row>
    <row r="36" spans="1:17" x14ac:dyDescent="0.35">
      <c r="A36" s="10" t="s">
        <v>1337</v>
      </c>
      <c r="B36" s="10" t="s">
        <v>1557</v>
      </c>
      <c r="C36" s="10" t="s">
        <v>667</v>
      </c>
      <c r="D36" s="10">
        <v>3</v>
      </c>
      <c r="E36" s="10" t="s">
        <v>1554</v>
      </c>
      <c r="F36" s="10" t="s">
        <v>484</v>
      </c>
      <c r="G36" s="10">
        <v>18300000</v>
      </c>
      <c r="H36" s="10">
        <v>1700000</v>
      </c>
      <c r="I36" s="10">
        <v>19150000</v>
      </c>
      <c r="J36" s="10">
        <v>3.0000000000000001E-3</v>
      </c>
      <c r="K36" s="10">
        <v>1.0500000000000001E-2</v>
      </c>
      <c r="L36" s="10">
        <v>2.3625E-2</v>
      </c>
      <c r="M36" s="10">
        <v>0.1</v>
      </c>
      <c r="N36" s="10">
        <v>45241.88</v>
      </c>
      <c r="O36" s="10">
        <v>1</v>
      </c>
      <c r="P36" s="10">
        <v>19150000</v>
      </c>
      <c r="Q36" s="10">
        <v>5.0999999999999997E-2</v>
      </c>
    </row>
    <row r="37" spans="1:17" x14ac:dyDescent="0.35">
      <c r="A37" s="10" t="s">
        <v>391</v>
      </c>
      <c r="B37" s="10" t="s">
        <v>403</v>
      </c>
      <c r="C37" s="10" t="s">
        <v>399</v>
      </c>
      <c r="D37" s="10">
        <v>5</v>
      </c>
      <c r="E37" s="10" t="s">
        <v>1554</v>
      </c>
      <c r="F37" s="10" t="s">
        <v>1555</v>
      </c>
      <c r="G37" s="10">
        <v>6250000</v>
      </c>
      <c r="H37" s="10">
        <v>1750000</v>
      </c>
      <c r="I37" s="10">
        <v>7125000</v>
      </c>
      <c r="J37" s="10">
        <v>0.02</v>
      </c>
      <c r="K37" s="10">
        <v>0.02</v>
      </c>
      <c r="L37" s="10">
        <v>4.4999999999999998E-2</v>
      </c>
      <c r="M37" s="10">
        <v>0.45</v>
      </c>
      <c r="N37" s="10">
        <v>144281.25</v>
      </c>
      <c r="O37" s="10">
        <v>1</v>
      </c>
      <c r="P37" s="10">
        <v>7125000</v>
      </c>
      <c r="Q37" s="10">
        <v>7.2499999999999995E-2</v>
      </c>
    </row>
    <row r="38" spans="1:17" x14ac:dyDescent="0.35">
      <c r="A38" s="10" t="s">
        <v>391</v>
      </c>
      <c r="B38" s="10" t="s">
        <v>403</v>
      </c>
      <c r="C38" s="10" t="s">
        <v>399</v>
      </c>
      <c r="D38" s="10">
        <v>5</v>
      </c>
      <c r="E38" s="10" t="s">
        <v>1554</v>
      </c>
      <c r="F38" s="10" t="s">
        <v>1556</v>
      </c>
      <c r="G38" s="10">
        <v>6250000</v>
      </c>
      <c r="H38" s="10">
        <v>1750000</v>
      </c>
      <c r="I38" s="10">
        <v>7125000</v>
      </c>
      <c r="J38" s="10">
        <v>0.02</v>
      </c>
      <c r="K38" s="10">
        <v>3.5999999999999997E-2</v>
      </c>
      <c r="L38" s="10">
        <v>8.1000000000000003E-2</v>
      </c>
      <c r="M38" s="10">
        <v>0.45</v>
      </c>
      <c r="N38" s="10">
        <v>259706.25</v>
      </c>
      <c r="O38" s="10">
        <v>1</v>
      </c>
      <c r="P38" s="10">
        <v>7125000</v>
      </c>
      <c r="Q38" s="10">
        <v>7.2499999999999995E-2</v>
      </c>
    </row>
    <row r="39" spans="1:17" x14ac:dyDescent="0.35">
      <c r="A39" s="10" t="s">
        <v>391</v>
      </c>
      <c r="B39" s="10" t="s">
        <v>403</v>
      </c>
      <c r="C39" s="10" t="s">
        <v>399</v>
      </c>
      <c r="D39" s="10">
        <v>5</v>
      </c>
      <c r="E39" s="10" t="s">
        <v>1554</v>
      </c>
      <c r="F39" s="10" t="s">
        <v>484</v>
      </c>
      <c r="G39" s="10">
        <v>6250000</v>
      </c>
      <c r="H39" s="10">
        <v>1750000</v>
      </c>
      <c r="I39" s="10">
        <v>7125000</v>
      </c>
      <c r="J39" s="10">
        <v>0.02</v>
      </c>
      <c r="K39" s="10">
        <v>0.06</v>
      </c>
      <c r="L39" s="10">
        <v>0.13500000000000001</v>
      </c>
      <c r="M39" s="10">
        <v>0.45</v>
      </c>
      <c r="N39" s="10">
        <v>432843.75</v>
      </c>
      <c r="O39" s="10">
        <v>1</v>
      </c>
      <c r="P39" s="10">
        <v>7125000</v>
      </c>
      <c r="Q39" s="10">
        <v>7.2499999999999995E-2</v>
      </c>
    </row>
    <row r="40" spans="1:17" x14ac:dyDescent="0.35">
      <c r="A40" s="10" t="s">
        <v>1340</v>
      </c>
      <c r="B40" s="10" t="s">
        <v>403</v>
      </c>
      <c r="C40" s="10" t="s">
        <v>399</v>
      </c>
      <c r="D40" s="10">
        <v>7</v>
      </c>
      <c r="E40" s="10" t="s">
        <v>1559</v>
      </c>
      <c r="F40" s="10" t="s">
        <v>1555</v>
      </c>
      <c r="G40" s="10">
        <v>650000</v>
      </c>
      <c r="H40" s="10">
        <v>1850000</v>
      </c>
      <c r="I40" s="10">
        <v>1575000</v>
      </c>
      <c r="J40" s="10">
        <v>0.15</v>
      </c>
      <c r="K40" s="10">
        <v>0.15</v>
      </c>
      <c r="L40" s="10">
        <v>0.33750000000000002</v>
      </c>
      <c r="M40" s="10">
        <v>0.45</v>
      </c>
      <c r="N40" s="10">
        <v>239203.12</v>
      </c>
      <c r="O40" s="10">
        <v>1</v>
      </c>
      <c r="P40" s="10">
        <v>1575000</v>
      </c>
      <c r="Q40" s="10">
        <v>8.1000000000000003E-2</v>
      </c>
    </row>
    <row r="41" spans="1:17" x14ac:dyDescent="0.35">
      <c r="A41" s="10" t="s">
        <v>1340</v>
      </c>
      <c r="B41" s="10" t="s">
        <v>403</v>
      </c>
      <c r="C41" s="10" t="s">
        <v>399</v>
      </c>
      <c r="D41" s="10">
        <v>7</v>
      </c>
      <c r="E41" s="10" t="s">
        <v>1559</v>
      </c>
      <c r="F41" s="10" t="s">
        <v>1556</v>
      </c>
      <c r="G41" s="10">
        <v>650000</v>
      </c>
      <c r="H41" s="10">
        <v>1850000</v>
      </c>
      <c r="I41" s="10">
        <v>1575000</v>
      </c>
      <c r="J41" s="10">
        <v>0.15</v>
      </c>
      <c r="K41" s="10">
        <v>0.27</v>
      </c>
      <c r="L41" s="10">
        <v>0.60750000000000004</v>
      </c>
      <c r="M41" s="10">
        <v>0.45</v>
      </c>
      <c r="N41" s="10">
        <v>430565.63</v>
      </c>
      <c r="O41" s="10">
        <v>1</v>
      </c>
      <c r="P41" s="10">
        <v>1575000</v>
      </c>
      <c r="Q41" s="10">
        <v>8.1000000000000003E-2</v>
      </c>
    </row>
    <row r="42" spans="1:17" x14ac:dyDescent="0.35">
      <c r="A42" s="10" t="s">
        <v>1340</v>
      </c>
      <c r="B42" s="10" t="s">
        <v>403</v>
      </c>
      <c r="C42" s="10" t="s">
        <v>399</v>
      </c>
      <c r="D42" s="10">
        <v>7</v>
      </c>
      <c r="E42" s="10" t="s">
        <v>1559</v>
      </c>
      <c r="F42" s="10" t="s">
        <v>484</v>
      </c>
      <c r="G42" s="10">
        <v>650000</v>
      </c>
      <c r="H42" s="10">
        <v>1850000</v>
      </c>
      <c r="I42" s="10">
        <v>1575000</v>
      </c>
      <c r="J42" s="10">
        <v>0.15</v>
      </c>
      <c r="K42" s="10">
        <v>0.45</v>
      </c>
      <c r="L42" s="10">
        <v>1</v>
      </c>
      <c r="M42" s="10">
        <v>0.45</v>
      </c>
      <c r="N42" s="10">
        <v>708750</v>
      </c>
      <c r="O42" s="10">
        <v>1</v>
      </c>
      <c r="P42" s="10">
        <v>1575000</v>
      </c>
      <c r="Q42" s="10">
        <v>8.1000000000000003E-2</v>
      </c>
    </row>
    <row r="43" spans="1:17" x14ac:dyDescent="0.35">
      <c r="A43" s="10" t="s">
        <v>1343</v>
      </c>
      <c r="B43" s="10" t="s">
        <v>1557</v>
      </c>
      <c r="C43" s="10" t="s">
        <v>1558</v>
      </c>
      <c r="D43" s="10">
        <v>5</v>
      </c>
      <c r="E43" s="10" t="s">
        <v>1554</v>
      </c>
      <c r="F43" s="10" t="s">
        <v>1555</v>
      </c>
      <c r="G43" s="10">
        <v>15400000</v>
      </c>
      <c r="H43" s="10">
        <v>600000</v>
      </c>
      <c r="I43" s="10">
        <v>15700000</v>
      </c>
      <c r="J43" s="10">
        <v>0.02</v>
      </c>
      <c r="K43" s="10">
        <v>0.02</v>
      </c>
      <c r="L43" s="10">
        <v>4.4999999999999998E-2</v>
      </c>
      <c r="M43" s="10">
        <v>0.1</v>
      </c>
      <c r="N43" s="10">
        <v>70650</v>
      </c>
      <c r="O43" s="10">
        <v>1</v>
      </c>
      <c r="P43" s="10">
        <v>15700000</v>
      </c>
      <c r="Q43" s="10">
        <v>5.3999999999999999E-2</v>
      </c>
    </row>
    <row r="44" spans="1:17" x14ac:dyDescent="0.35">
      <c r="A44" s="10" t="s">
        <v>1343</v>
      </c>
      <c r="B44" s="10" t="s">
        <v>1557</v>
      </c>
      <c r="C44" s="10" t="s">
        <v>1558</v>
      </c>
      <c r="D44" s="10">
        <v>5</v>
      </c>
      <c r="E44" s="10" t="s">
        <v>1554</v>
      </c>
      <c r="F44" s="10" t="s">
        <v>1556</v>
      </c>
      <c r="G44" s="10">
        <v>15400000</v>
      </c>
      <c r="H44" s="10">
        <v>600000</v>
      </c>
      <c r="I44" s="10">
        <v>15700000</v>
      </c>
      <c r="J44" s="10">
        <v>0.02</v>
      </c>
      <c r="K44" s="10">
        <v>0.04</v>
      </c>
      <c r="L44" s="10">
        <v>0.09</v>
      </c>
      <c r="M44" s="10">
        <v>0.1</v>
      </c>
      <c r="N44" s="10">
        <v>141300</v>
      </c>
      <c r="O44" s="10">
        <v>1</v>
      </c>
      <c r="P44" s="10">
        <v>15700000</v>
      </c>
      <c r="Q44" s="10">
        <v>5.3999999999999999E-2</v>
      </c>
    </row>
    <row r="45" spans="1:17" x14ac:dyDescent="0.35">
      <c r="A45" s="10" t="s">
        <v>1343</v>
      </c>
      <c r="B45" s="10" t="s">
        <v>1557</v>
      </c>
      <c r="C45" s="10" t="s">
        <v>1558</v>
      </c>
      <c r="D45" s="10">
        <v>5</v>
      </c>
      <c r="E45" s="10" t="s">
        <v>1554</v>
      </c>
      <c r="F45" s="10" t="s">
        <v>484</v>
      </c>
      <c r="G45" s="10">
        <v>15400000</v>
      </c>
      <c r="H45" s="10">
        <v>600000</v>
      </c>
      <c r="I45" s="10">
        <v>15700000</v>
      </c>
      <c r="J45" s="10">
        <v>0.02</v>
      </c>
      <c r="K45" s="10">
        <v>7.0000000000000007E-2</v>
      </c>
      <c r="L45" s="10">
        <v>0.1575</v>
      </c>
      <c r="M45" s="10">
        <v>0.243312</v>
      </c>
      <c r="N45" s="10">
        <v>601650</v>
      </c>
      <c r="O45" s="10">
        <v>1</v>
      </c>
      <c r="P45" s="10">
        <v>15700000</v>
      </c>
      <c r="Q45" s="10">
        <v>5.3999999999999999E-2</v>
      </c>
    </row>
    <row r="46" spans="1:17" x14ac:dyDescent="0.35">
      <c r="A46" s="10" t="s">
        <v>1346</v>
      </c>
      <c r="B46" s="10" t="s">
        <v>403</v>
      </c>
      <c r="C46" s="10" t="s">
        <v>660</v>
      </c>
      <c r="D46" s="10">
        <v>4</v>
      </c>
      <c r="E46" s="10" t="s">
        <v>1554</v>
      </c>
      <c r="F46" s="10" t="s">
        <v>1555</v>
      </c>
      <c r="G46" s="10">
        <v>1800000</v>
      </c>
      <c r="H46" s="10">
        <v>1200000</v>
      </c>
      <c r="I46" s="10">
        <v>2400000</v>
      </c>
      <c r="J46" s="10">
        <v>8.0000000000000002E-3</v>
      </c>
      <c r="K46" s="10">
        <v>8.0000000000000002E-3</v>
      </c>
      <c r="L46" s="10">
        <v>1.7999999999999999E-2</v>
      </c>
      <c r="M46" s="10">
        <v>0.45</v>
      </c>
      <c r="N46" s="10">
        <v>19440</v>
      </c>
      <c r="O46" s="10">
        <v>1</v>
      </c>
      <c r="P46" s="10">
        <v>2400000</v>
      </c>
      <c r="Q46" s="10">
        <v>7.2999999999999995E-2</v>
      </c>
    </row>
    <row r="47" spans="1:17" x14ac:dyDescent="0.35">
      <c r="A47" s="10" t="s">
        <v>1346</v>
      </c>
      <c r="B47" s="10" t="s">
        <v>403</v>
      </c>
      <c r="C47" s="10" t="s">
        <v>660</v>
      </c>
      <c r="D47" s="10">
        <v>4</v>
      </c>
      <c r="E47" s="10" t="s">
        <v>1554</v>
      </c>
      <c r="F47" s="10" t="s">
        <v>1556</v>
      </c>
      <c r="G47" s="10">
        <v>1800000</v>
      </c>
      <c r="H47" s="10">
        <v>1200000</v>
      </c>
      <c r="I47" s="10">
        <v>2400000</v>
      </c>
      <c r="J47" s="10">
        <v>8.0000000000000002E-3</v>
      </c>
      <c r="K47" s="10">
        <v>1.44E-2</v>
      </c>
      <c r="L47" s="10">
        <v>3.2399999999999998E-2</v>
      </c>
      <c r="M47" s="10">
        <v>0.45</v>
      </c>
      <c r="N47" s="10">
        <v>34992</v>
      </c>
      <c r="O47" s="10">
        <v>1</v>
      </c>
      <c r="P47" s="10">
        <v>2400000</v>
      </c>
      <c r="Q47" s="10">
        <v>7.2999999999999995E-2</v>
      </c>
    </row>
    <row r="48" spans="1:17" x14ac:dyDescent="0.35">
      <c r="A48" s="10" t="s">
        <v>1346</v>
      </c>
      <c r="B48" s="10" t="s">
        <v>403</v>
      </c>
      <c r="C48" s="10" t="s">
        <v>660</v>
      </c>
      <c r="D48" s="10">
        <v>4</v>
      </c>
      <c r="E48" s="10" t="s">
        <v>1554</v>
      </c>
      <c r="F48" s="10" t="s">
        <v>484</v>
      </c>
      <c r="G48" s="10">
        <v>1800000</v>
      </c>
      <c r="H48" s="10">
        <v>1200000</v>
      </c>
      <c r="I48" s="10">
        <v>2400000</v>
      </c>
      <c r="J48" s="10">
        <v>8.0000000000000002E-3</v>
      </c>
      <c r="K48" s="10">
        <v>2.4E-2</v>
      </c>
      <c r="L48" s="10">
        <v>5.3999999999999999E-2</v>
      </c>
      <c r="M48" s="10">
        <v>0.45</v>
      </c>
      <c r="N48" s="10">
        <v>58320</v>
      </c>
      <c r="O48" s="10">
        <v>1</v>
      </c>
      <c r="P48" s="10">
        <v>2400000</v>
      </c>
      <c r="Q48" s="10">
        <v>7.2999999999999995E-2</v>
      </c>
    </row>
    <row r="49" spans="1:17" x14ac:dyDescent="0.35">
      <c r="A49" s="10" t="s">
        <v>1349</v>
      </c>
      <c r="B49" s="10" t="s">
        <v>403</v>
      </c>
      <c r="C49" s="10" t="s">
        <v>399</v>
      </c>
      <c r="D49" s="10">
        <v>3</v>
      </c>
      <c r="E49" s="10" t="s">
        <v>1554</v>
      </c>
      <c r="F49" s="10" t="s">
        <v>1555</v>
      </c>
      <c r="G49" s="10">
        <v>8600000</v>
      </c>
      <c r="H49" s="10">
        <v>400000</v>
      </c>
      <c r="I49" s="10">
        <v>8800000</v>
      </c>
      <c r="J49" s="10">
        <v>3.0000000000000001E-3</v>
      </c>
      <c r="K49" s="10">
        <v>3.0000000000000001E-3</v>
      </c>
      <c r="L49" s="10">
        <v>6.7499999999999999E-3</v>
      </c>
      <c r="M49" s="10">
        <v>0.45</v>
      </c>
      <c r="N49" s="10">
        <v>26730</v>
      </c>
      <c r="O49" s="10">
        <v>1</v>
      </c>
      <c r="P49" s="10">
        <v>8800000</v>
      </c>
      <c r="Q49" s="10">
        <v>6.6500000000000004E-2</v>
      </c>
    </row>
    <row r="50" spans="1:17" x14ac:dyDescent="0.35">
      <c r="A50" s="10" t="s">
        <v>1349</v>
      </c>
      <c r="B50" s="10" t="s">
        <v>403</v>
      </c>
      <c r="C50" s="10" t="s">
        <v>399</v>
      </c>
      <c r="D50" s="10">
        <v>3</v>
      </c>
      <c r="E50" s="10" t="s">
        <v>1554</v>
      </c>
      <c r="F50" s="10" t="s">
        <v>1556</v>
      </c>
      <c r="G50" s="10">
        <v>8600000</v>
      </c>
      <c r="H50" s="10">
        <v>400000</v>
      </c>
      <c r="I50" s="10">
        <v>8800000</v>
      </c>
      <c r="J50" s="10">
        <v>3.0000000000000001E-3</v>
      </c>
      <c r="K50" s="10">
        <v>5.4000000000000003E-3</v>
      </c>
      <c r="L50" s="10">
        <v>1.2149999999999999E-2</v>
      </c>
      <c r="M50" s="10">
        <v>0.45</v>
      </c>
      <c r="N50" s="10">
        <v>48114</v>
      </c>
      <c r="O50" s="10">
        <v>1</v>
      </c>
      <c r="P50" s="10">
        <v>8800000</v>
      </c>
      <c r="Q50" s="10">
        <v>6.6500000000000004E-2</v>
      </c>
    </row>
    <row r="51" spans="1:17" x14ac:dyDescent="0.35">
      <c r="A51" s="10" t="s">
        <v>1349</v>
      </c>
      <c r="B51" s="10" t="s">
        <v>403</v>
      </c>
      <c r="C51" s="10" t="s">
        <v>399</v>
      </c>
      <c r="D51" s="10">
        <v>3</v>
      </c>
      <c r="E51" s="10" t="s">
        <v>1554</v>
      </c>
      <c r="F51" s="10" t="s">
        <v>484</v>
      </c>
      <c r="G51" s="10">
        <v>8600000</v>
      </c>
      <c r="H51" s="10">
        <v>400000</v>
      </c>
      <c r="I51" s="10">
        <v>8800000</v>
      </c>
      <c r="J51" s="10">
        <v>3.0000000000000001E-3</v>
      </c>
      <c r="K51" s="10">
        <v>8.9999999999999993E-3</v>
      </c>
      <c r="L51" s="10">
        <v>2.0250000000000001E-2</v>
      </c>
      <c r="M51" s="10">
        <v>0.45</v>
      </c>
      <c r="N51" s="10">
        <v>80190</v>
      </c>
      <c r="O51" s="10">
        <v>1</v>
      </c>
      <c r="P51" s="10">
        <v>8800000</v>
      </c>
      <c r="Q51" s="10">
        <v>6.6500000000000004E-2</v>
      </c>
    </row>
    <row r="52" spans="1:17" x14ac:dyDescent="0.35">
      <c r="A52" s="10" t="s">
        <v>1352</v>
      </c>
      <c r="B52" s="10" t="s">
        <v>1557</v>
      </c>
      <c r="C52" s="10" t="s">
        <v>665</v>
      </c>
      <c r="D52" s="10">
        <v>7</v>
      </c>
      <c r="E52" s="10" t="s">
        <v>1560</v>
      </c>
      <c r="F52" s="10" t="s">
        <v>1555</v>
      </c>
      <c r="G52" s="10">
        <v>11200000</v>
      </c>
      <c r="H52" s="10">
        <v>800000</v>
      </c>
      <c r="I52" s="10">
        <v>11600000</v>
      </c>
      <c r="J52" s="10">
        <v>1</v>
      </c>
      <c r="K52" s="10">
        <v>1</v>
      </c>
      <c r="L52" s="10">
        <v>1</v>
      </c>
      <c r="M52" s="10">
        <v>0.1</v>
      </c>
      <c r="N52" s="10">
        <v>1160000</v>
      </c>
      <c r="O52" s="10">
        <v>1.5</v>
      </c>
      <c r="P52" s="10">
        <v>17400000</v>
      </c>
      <c r="Q52" s="10">
        <v>6.0999999999999999E-2</v>
      </c>
    </row>
    <row r="53" spans="1:17" x14ac:dyDescent="0.35">
      <c r="A53" s="10" t="s">
        <v>1352</v>
      </c>
      <c r="B53" s="10" t="s">
        <v>1557</v>
      </c>
      <c r="C53" s="10" t="s">
        <v>665</v>
      </c>
      <c r="D53" s="10">
        <v>7</v>
      </c>
      <c r="E53" s="10" t="s">
        <v>1560</v>
      </c>
      <c r="F53" s="10" t="s">
        <v>1556</v>
      </c>
      <c r="G53" s="10">
        <v>11200000</v>
      </c>
      <c r="H53" s="10">
        <v>800000</v>
      </c>
      <c r="I53" s="10">
        <v>11600000</v>
      </c>
      <c r="J53" s="10">
        <v>1</v>
      </c>
      <c r="K53" s="10">
        <v>1</v>
      </c>
      <c r="L53" s="10">
        <v>1</v>
      </c>
      <c r="M53" s="10">
        <v>0.224138</v>
      </c>
      <c r="N53" s="10">
        <v>2600000</v>
      </c>
      <c r="O53" s="10">
        <v>1.5</v>
      </c>
      <c r="P53" s="10">
        <v>17400000</v>
      </c>
      <c r="Q53" s="10">
        <v>6.0999999999999999E-2</v>
      </c>
    </row>
    <row r="54" spans="1:17" x14ac:dyDescent="0.35">
      <c r="A54" s="10" t="s">
        <v>1352</v>
      </c>
      <c r="B54" s="10" t="s">
        <v>1557</v>
      </c>
      <c r="C54" s="10" t="s">
        <v>665</v>
      </c>
      <c r="D54" s="10">
        <v>7</v>
      </c>
      <c r="E54" s="10" t="s">
        <v>1560</v>
      </c>
      <c r="F54" s="10" t="s">
        <v>484</v>
      </c>
      <c r="G54" s="10">
        <v>11200000</v>
      </c>
      <c r="H54" s="10">
        <v>800000</v>
      </c>
      <c r="I54" s="10">
        <v>11600000</v>
      </c>
      <c r="J54" s="10">
        <v>1</v>
      </c>
      <c r="K54" s="10">
        <v>1</v>
      </c>
      <c r="L54" s="10">
        <v>1</v>
      </c>
      <c r="M54" s="10">
        <v>0.418103</v>
      </c>
      <c r="N54" s="10">
        <v>4850000</v>
      </c>
      <c r="O54" s="10">
        <v>1.5</v>
      </c>
      <c r="P54" s="10">
        <v>17400000</v>
      </c>
      <c r="Q54" s="10">
        <v>6.0999999999999999E-2</v>
      </c>
    </row>
    <row r="55" spans="1:17" x14ac:dyDescent="0.35">
      <c r="A55" s="10" t="s">
        <v>1355</v>
      </c>
      <c r="B55" s="10" t="s">
        <v>403</v>
      </c>
      <c r="C55" s="10" t="s">
        <v>399</v>
      </c>
      <c r="D55" s="10">
        <v>6</v>
      </c>
      <c r="E55" s="10" t="s">
        <v>1554</v>
      </c>
      <c r="F55" s="10" t="s">
        <v>1555</v>
      </c>
      <c r="G55" s="10">
        <v>3300000</v>
      </c>
      <c r="H55" s="10">
        <v>2200000</v>
      </c>
      <c r="I55" s="10">
        <v>4400000</v>
      </c>
      <c r="J55" s="10">
        <v>0.04</v>
      </c>
      <c r="K55" s="10">
        <v>0.04</v>
      </c>
      <c r="L55" s="10">
        <v>0.09</v>
      </c>
      <c r="M55" s="10">
        <v>0.45</v>
      </c>
      <c r="N55" s="10">
        <v>178200</v>
      </c>
      <c r="O55" s="10">
        <v>1</v>
      </c>
      <c r="P55" s="10">
        <v>4400000</v>
      </c>
      <c r="Q55" s="10">
        <v>6.9500000000000006E-2</v>
      </c>
    </row>
    <row r="56" spans="1:17" x14ac:dyDescent="0.35">
      <c r="A56" s="10" t="s">
        <v>1355</v>
      </c>
      <c r="B56" s="10" t="s">
        <v>403</v>
      </c>
      <c r="C56" s="10" t="s">
        <v>399</v>
      </c>
      <c r="D56" s="10">
        <v>6</v>
      </c>
      <c r="E56" s="10" t="s">
        <v>1554</v>
      </c>
      <c r="F56" s="10" t="s">
        <v>1556</v>
      </c>
      <c r="G56" s="10">
        <v>3300000</v>
      </c>
      <c r="H56" s="10">
        <v>2200000</v>
      </c>
      <c r="I56" s="10">
        <v>4400000</v>
      </c>
      <c r="J56" s="10">
        <v>0.04</v>
      </c>
      <c r="K56" s="10">
        <v>7.1999999999999995E-2</v>
      </c>
      <c r="L56" s="10">
        <v>0.16200000000000001</v>
      </c>
      <c r="M56" s="10">
        <v>0.45</v>
      </c>
      <c r="N56" s="10">
        <v>320760</v>
      </c>
      <c r="O56" s="10">
        <v>1</v>
      </c>
      <c r="P56" s="10">
        <v>4400000</v>
      </c>
      <c r="Q56" s="10">
        <v>6.9500000000000006E-2</v>
      </c>
    </row>
    <row r="57" spans="1:17" x14ac:dyDescent="0.35">
      <c r="A57" s="10" t="s">
        <v>1355</v>
      </c>
      <c r="B57" s="10" t="s">
        <v>403</v>
      </c>
      <c r="C57" s="10" t="s">
        <v>399</v>
      </c>
      <c r="D57" s="10">
        <v>6</v>
      </c>
      <c r="E57" s="10" t="s">
        <v>1554</v>
      </c>
      <c r="F57" s="10" t="s">
        <v>484</v>
      </c>
      <c r="G57" s="10">
        <v>3300000</v>
      </c>
      <c r="H57" s="10">
        <v>2200000</v>
      </c>
      <c r="I57" s="10">
        <v>4400000</v>
      </c>
      <c r="J57" s="10">
        <v>0.04</v>
      </c>
      <c r="K57" s="10">
        <v>0.12</v>
      </c>
      <c r="L57" s="10">
        <v>0.27</v>
      </c>
      <c r="M57" s="10">
        <v>0.45</v>
      </c>
      <c r="N57" s="10">
        <v>534600</v>
      </c>
      <c r="O57" s="10">
        <v>1</v>
      </c>
      <c r="P57" s="10">
        <v>4400000</v>
      </c>
      <c r="Q57" s="10">
        <v>6.9500000000000006E-2</v>
      </c>
    </row>
    <row r="58" spans="1:17" x14ac:dyDescent="0.35">
      <c r="A58" s="10" t="s">
        <v>1358</v>
      </c>
      <c r="B58" s="10" t="s">
        <v>1557</v>
      </c>
      <c r="C58" s="10" t="s">
        <v>474</v>
      </c>
      <c r="D58" s="10">
        <v>5</v>
      </c>
      <c r="E58" s="10" t="s">
        <v>1554</v>
      </c>
      <c r="F58" s="10" t="s">
        <v>1555</v>
      </c>
      <c r="G58" s="10">
        <v>27500000</v>
      </c>
      <c r="H58" s="10">
        <v>2500000</v>
      </c>
      <c r="I58" s="10">
        <v>28750000</v>
      </c>
      <c r="J58" s="10">
        <v>0.02</v>
      </c>
      <c r="K58" s="10">
        <v>0.02</v>
      </c>
      <c r="L58" s="10">
        <v>4.4999999999999998E-2</v>
      </c>
      <c r="M58" s="10">
        <v>0.1</v>
      </c>
      <c r="N58" s="10">
        <v>129375</v>
      </c>
      <c r="O58" s="10">
        <v>1</v>
      </c>
      <c r="P58" s="10">
        <v>28750000</v>
      </c>
      <c r="Q58" s="10">
        <v>4.9000000000000002E-2</v>
      </c>
    </row>
    <row r="59" spans="1:17" x14ac:dyDescent="0.35">
      <c r="A59" s="10" t="s">
        <v>1358</v>
      </c>
      <c r="B59" s="10" t="s">
        <v>1557</v>
      </c>
      <c r="C59" s="10" t="s">
        <v>474</v>
      </c>
      <c r="D59" s="10">
        <v>5</v>
      </c>
      <c r="E59" s="10" t="s">
        <v>1554</v>
      </c>
      <c r="F59" s="10" t="s">
        <v>1556</v>
      </c>
      <c r="G59" s="10">
        <v>27500000</v>
      </c>
      <c r="H59" s="10">
        <v>2500000</v>
      </c>
      <c r="I59" s="10">
        <v>28750000</v>
      </c>
      <c r="J59" s="10">
        <v>0.02</v>
      </c>
      <c r="K59" s="10">
        <v>0.04</v>
      </c>
      <c r="L59" s="10">
        <v>0.09</v>
      </c>
      <c r="M59" s="10">
        <v>0.1</v>
      </c>
      <c r="N59" s="10">
        <v>258750</v>
      </c>
      <c r="O59" s="10">
        <v>1</v>
      </c>
      <c r="P59" s="10">
        <v>28750000</v>
      </c>
      <c r="Q59" s="10">
        <v>4.9000000000000002E-2</v>
      </c>
    </row>
    <row r="60" spans="1:17" x14ac:dyDescent="0.35">
      <c r="A60" s="10" t="s">
        <v>1358</v>
      </c>
      <c r="B60" s="10" t="s">
        <v>1557</v>
      </c>
      <c r="C60" s="10" t="s">
        <v>474</v>
      </c>
      <c r="D60" s="10">
        <v>5</v>
      </c>
      <c r="E60" s="10" t="s">
        <v>1554</v>
      </c>
      <c r="F60" s="10" t="s">
        <v>484</v>
      </c>
      <c r="G60" s="10">
        <v>27500000</v>
      </c>
      <c r="H60" s="10">
        <v>2500000</v>
      </c>
      <c r="I60" s="10">
        <v>28750000</v>
      </c>
      <c r="J60" s="10">
        <v>0.02</v>
      </c>
      <c r="K60" s="10">
        <v>7.0000000000000007E-2</v>
      </c>
      <c r="L60" s="10">
        <v>0.1575</v>
      </c>
      <c r="M60" s="10">
        <v>0.323826</v>
      </c>
      <c r="N60" s="10">
        <v>1466325</v>
      </c>
      <c r="O60" s="10">
        <v>1</v>
      </c>
      <c r="P60" s="10">
        <v>28750000</v>
      </c>
      <c r="Q60" s="10">
        <v>4.9000000000000002E-2</v>
      </c>
    </row>
    <row r="61" spans="1:17" x14ac:dyDescent="0.35">
      <c r="A61" s="10" t="s">
        <v>1361</v>
      </c>
      <c r="B61" s="10" t="s">
        <v>1557</v>
      </c>
      <c r="C61" s="10" t="s">
        <v>667</v>
      </c>
      <c r="D61" s="10">
        <v>4</v>
      </c>
      <c r="E61" s="10" t="s">
        <v>1554</v>
      </c>
      <c r="F61" s="10" t="s">
        <v>1555</v>
      </c>
      <c r="G61" s="10">
        <v>13300000</v>
      </c>
      <c r="H61" s="10">
        <v>700000</v>
      </c>
      <c r="I61" s="10">
        <v>13650000</v>
      </c>
      <c r="J61" s="10">
        <v>8.0000000000000002E-3</v>
      </c>
      <c r="K61" s="10">
        <v>8.0000000000000002E-3</v>
      </c>
      <c r="L61" s="10">
        <v>1.7999999999999999E-2</v>
      </c>
      <c r="M61" s="10">
        <v>0.1</v>
      </c>
      <c r="N61" s="10">
        <v>24570</v>
      </c>
      <c r="O61" s="10">
        <v>1</v>
      </c>
      <c r="P61" s="10">
        <v>13650000</v>
      </c>
      <c r="Q61" s="10">
        <v>5.2999999999999999E-2</v>
      </c>
    </row>
    <row r="62" spans="1:17" x14ac:dyDescent="0.35">
      <c r="A62" s="10" t="s">
        <v>1361</v>
      </c>
      <c r="B62" s="10" t="s">
        <v>1557</v>
      </c>
      <c r="C62" s="10" t="s">
        <v>667</v>
      </c>
      <c r="D62" s="10">
        <v>4</v>
      </c>
      <c r="E62" s="10" t="s">
        <v>1554</v>
      </c>
      <c r="F62" s="10" t="s">
        <v>1556</v>
      </c>
      <c r="G62" s="10">
        <v>13300000</v>
      </c>
      <c r="H62" s="10">
        <v>700000</v>
      </c>
      <c r="I62" s="10">
        <v>13650000</v>
      </c>
      <c r="J62" s="10">
        <v>8.0000000000000002E-3</v>
      </c>
      <c r="K62" s="10">
        <v>1.6E-2</v>
      </c>
      <c r="L62" s="10">
        <v>3.5999999999999997E-2</v>
      </c>
      <c r="M62" s="10">
        <v>0.1</v>
      </c>
      <c r="N62" s="10">
        <v>49140</v>
      </c>
      <c r="O62" s="10">
        <v>1</v>
      </c>
      <c r="P62" s="10">
        <v>13650000</v>
      </c>
      <c r="Q62" s="10">
        <v>5.2999999999999999E-2</v>
      </c>
    </row>
    <row r="63" spans="1:17" x14ac:dyDescent="0.35">
      <c r="A63" s="10" t="s">
        <v>1361</v>
      </c>
      <c r="B63" s="10" t="s">
        <v>1557</v>
      </c>
      <c r="C63" s="10" t="s">
        <v>667</v>
      </c>
      <c r="D63" s="10">
        <v>4</v>
      </c>
      <c r="E63" s="10" t="s">
        <v>1554</v>
      </c>
      <c r="F63" s="10" t="s">
        <v>484</v>
      </c>
      <c r="G63" s="10">
        <v>13300000</v>
      </c>
      <c r="H63" s="10">
        <v>700000</v>
      </c>
      <c r="I63" s="10">
        <v>13650000</v>
      </c>
      <c r="J63" s="10">
        <v>8.0000000000000002E-3</v>
      </c>
      <c r="K63" s="10">
        <v>2.8000000000000001E-2</v>
      </c>
      <c r="L63" s="10">
        <v>6.3E-2</v>
      </c>
      <c r="M63" s="10">
        <v>0.16923099999999999</v>
      </c>
      <c r="N63" s="10">
        <v>145530</v>
      </c>
      <c r="O63" s="10">
        <v>1</v>
      </c>
      <c r="P63" s="10">
        <v>13650000</v>
      </c>
      <c r="Q63" s="10">
        <v>5.2999999999999999E-2</v>
      </c>
    </row>
    <row r="64" spans="1:17" x14ac:dyDescent="0.35">
      <c r="A64" s="10" t="s">
        <v>1364</v>
      </c>
      <c r="B64" s="10" t="s">
        <v>403</v>
      </c>
      <c r="C64" s="10" t="s">
        <v>399</v>
      </c>
      <c r="D64" s="10">
        <v>7</v>
      </c>
      <c r="E64" s="10" t="s">
        <v>1554</v>
      </c>
      <c r="F64" s="10" t="s">
        <v>1555</v>
      </c>
      <c r="G64" s="10">
        <v>2250000</v>
      </c>
      <c r="H64" s="10">
        <v>2250000</v>
      </c>
      <c r="I64" s="10">
        <v>3375000</v>
      </c>
      <c r="J64" s="10">
        <v>0.08</v>
      </c>
      <c r="K64" s="10">
        <v>0.08</v>
      </c>
      <c r="L64" s="10">
        <v>0.18</v>
      </c>
      <c r="M64" s="10">
        <v>0.45</v>
      </c>
      <c r="N64" s="10">
        <v>273375</v>
      </c>
      <c r="O64" s="10">
        <v>1</v>
      </c>
      <c r="P64" s="10">
        <v>3375000</v>
      </c>
      <c r="Q64" s="10">
        <v>7.0000000000000007E-2</v>
      </c>
    </row>
    <row r="65" spans="1:17" x14ac:dyDescent="0.35">
      <c r="A65" s="10" t="s">
        <v>1364</v>
      </c>
      <c r="B65" s="10" t="s">
        <v>403</v>
      </c>
      <c r="C65" s="10" t="s">
        <v>399</v>
      </c>
      <c r="D65" s="10">
        <v>7</v>
      </c>
      <c r="E65" s="10" t="s">
        <v>1554</v>
      </c>
      <c r="F65" s="10" t="s">
        <v>1556</v>
      </c>
      <c r="G65" s="10">
        <v>2250000</v>
      </c>
      <c r="H65" s="10">
        <v>2250000</v>
      </c>
      <c r="I65" s="10">
        <v>3375000</v>
      </c>
      <c r="J65" s="10">
        <v>0.08</v>
      </c>
      <c r="K65" s="10">
        <v>0.14399999999999999</v>
      </c>
      <c r="L65" s="10">
        <v>0.32400000000000001</v>
      </c>
      <c r="M65" s="10">
        <v>0.45</v>
      </c>
      <c r="N65" s="10">
        <v>492075</v>
      </c>
      <c r="O65" s="10">
        <v>1</v>
      </c>
      <c r="P65" s="10">
        <v>3375000</v>
      </c>
      <c r="Q65" s="10">
        <v>7.0000000000000007E-2</v>
      </c>
    </row>
    <row r="66" spans="1:17" x14ac:dyDescent="0.35">
      <c r="A66" s="10" t="s">
        <v>1364</v>
      </c>
      <c r="B66" s="10" t="s">
        <v>403</v>
      </c>
      <c r="C66" s="10" t="s">
        <v>399</v>
      </c>
      <c r="D66" s="10">
        <v>7</v>
      </c>
      <c r="E66" s="10" t="s">
        <v>1554</v>
      </c>
      <c r="F66" s="10" t="s">
        <v>484</v>
      </c>
      <c r="G66" s="10">
        <v>2250000</v>
      </c>
      <c r="H66" s="10">
        <v>2250000</v>
      </c>
      <c r="I66" s="10">
        <v>3375000</v>
      </c>
      <c r="J66" s="10">
        <v>0.08</v>
      </c>
      <c r="K66" s="10">
        <v>0.24</v>
      </c>
      <c r="L66" s="10">
        <v>0.54</v>
      </c>
      <c r="M66" s="10">
        <v>0.45</v>
      </c>
      <c r="N66" s="10">
        <v>820125</v>
      </c>
      <c r="O66" s="10">
        <v>1</v>
      </c>
      <c r="P66" s="10">
        <v>3375000</v>
      </c>
      <c r="Q66" s="10">
        <v>7.0000000000000007E-2</v>
      </c>
    </row>
    <row r="67" spans="1:17" x14ac:dyDescent="0.35">
      <c r="A67" s="10" t="s">
        <v>1367</v>
      </c>
      <c r="B67" s="10" t="s">
        <v>403</v>
      </c>
      <c r="C67" s="10" t="s">
        <v>660</v>
      </c>
      <c r="D67" s="10">
        <v>8</v>
      </c>
      <c r="E67" s="10" t="s">
        <v>1561</v>
      </c>
      <c r="F67" s="10" t="s">
        <v>1555</v>
      </c>
      <c r="G67" s="10">
        <v>5400000</v>
      </c>
      <c r="H67" s="10">
        <v>600000</v>
      </c>
      <c r="I67" s="10">
        <v>5700000</v>
      </c>
      <c r="J67" s="10">
        <v>0.15</v>
      </c>
      <c r="K67" s="10">
        <v>0.15</v>
      </c>
      <c r="L67" s="10">
        <v>0.33750000000000002</v>
      </c>
      <c r="M67" s="10">
        <v>0.44736799999999999</v>
      </c>
      <c r="N67" s="10">
        <v>860625</v>
      </c>
      <c r="O67" s="10">
        <v>1</v>
      </c>
      <c r="P67" s="10">
        <v>5700000</v>
      </c>
      <c r="Q67" s="10">
        <v>8.5000000000000006E-2</v>
      </c>
    </row>
    <row r="68" spans="1:17" x14ac:dyDescent="0.35">
      <c r="A68" s="10" t="s">
        <v>1367</v>
      </c>
      <c r="B68" s="10" t="s">
        <v>403</v>
      </c>
      <c r="C68" s="10" t="s">
        <v>660</v>
      </c>
      <c r="D68" s="10">
        <v>8</v>
      </c>
      <c r="E68" s="10" t="s">
        <v>1561</v>
      </c>
      <c r="F68" s="10" t="s">
        <v>1556</v>
      </c>
      <c r="G68" s="10">
        <v>5400000</v>
      </c>
      <c r="H68" s="10">
        <v>600000</v>
      </c>
      <c r="I68" s="10">
        <v>5700000</v>
      </c>
      <c r="J68" s="10">
        <v>0.15</v>
      </c>
      <c r="K68" s="10">
        <v>0.27</v>
      </c>
      <c r="L68" s="10">
        <v>0.60750000000000004</v>
      </c>
      <c r="M68" s="10">
        <v>0.45</v>
      </c>
      <c r="N68" s="10">
        <v>1558237.5</v>
      </c>
      <c r="O68" s="10">
        <v>1</v>
      </c>
      <c r="P68" s="10">
        <v>5700000</v>
      </c>
      <c r="Q68" s="10">
        <v>8.5000000000000006E-2</v>
      </c>
    </row>
    <row r="69" spans="1:17" x14ac:dyDescent="0.35">
      <c r="A69" s="10" t="s">
        <v>1367</v>
      </c>
      <c r="B69" s="10" t="s">
        <v>403</v>
      </c>
      <c r="C69" s="10" t="s">
        <v>660</v>
      </c>
      <c r="D69" s="10">
        <v>8</v>
      </c>
      <c r="E69" s="10" t="s">
        <v>1561</v>
      </c>
      <c r="F69" s="10" t="s">
        <v>484</v>
      </c>
      <c r="G69" s="10">
        <v>5400000</v>
      </c>
      <c r="H69" s="10">
        <v>600000</v>
      </c>
      <c r="I69" s="10">
        <v>5700000</v>
      </c>
      <c r="J69" s="10">
        <v>0.15</v>
      </c>
      <c r="K69" s="10">
        <v>0.45</v>
      </c>
      <c r="L69" s="10">
        <v>1</v>
      </c>
      <c r="M69" s="10">
        <v>0.45</v>
      </c>
      <c r="N69" s="10">
        <v>2565000</v>
      </c>
      <c r="O69" s="10">
        <v>1</v>
      </c>
      <c r="P69" s="10">
        <v>5700000</v>
      </c>
      <c r="Q69" s="10">
        <v>8.5000000000000006E-2</v>
      </c>
    </row>
    <row r="70" spans="1:17" x14ac:dyDescent="0.35">
      <c r="A70" s="10" t="s">
        <v>468</v>
      </c>
      <c r="B70" s="10" t="s">
        <v>1557</v>
      </c>
      <c r="C70" s="10" t="s">
        <v>474</v>
      </c>
      <c r="D70" s="10">
        <v>5</v>
      </c>
      <c r="E70" s="10" t="s">
        <v>1554</v>
      </c>
      <c r="F70" s="10" t="s">
        <v>1555</v>
      </c>
      <c r="G70" s="10">
        <v>7800000</v>
      </c>
      <c r="H70" s="10">
        <v>2200000</v>
      </c>
      <c r="I70" s="10">
        <v>8900000</v>
      </c>
      <c r="J70" s="10">
        <v>0.02</v>
      </c>
      <c r="K70" s="10">
        <v>0.02</v>
      </c>
      <c r="L70" s="10">
        <v>4.4999999999999998E-2</v>
      </c>
      <c r="M70" s="10">
        <v>0.1</v>
      </c>
      <c r="N70" s="10">
        <v>40050</v>
      </c>
      <c r="O70" s="10">
        <v>1.5</v>
      </c>
      <c r="P70" s="10">
        <v>13350000</v>
      </c>
      <c r="Q70" s="10">
        <v>7.9000000000000001E-2</v>
      </c>
    </row>
    <row r="71" spans="1:17" x14ac:dyDescent="0.35">
      <c r="A71" s="10" t="s">
        <v>468</v>
      </c>
      <c r="B71" s="10" t="s">
        <v>1557</v>
      </c>
      <c r="C71" s="10" t="s">
        <v>474</v>
      </c>
      <c r="D71" s="10">
        <v>5</v>
      </c>
      <c r="E71" s="10" t="s">
        <v>1554</v>
      </c>
      <c r="F71" s="10" t="s">
        <v>1556</v>
      </c>
      <c r="G71" s="10">
        <v>7800000</v>
      </c>
      <c r="H71" s="10">
        <v>2200000</v>
      </c>
      <c r="I71" s="10">
        <v>8900000</v>
      </c>
      <c r="J71" s="10">
        <v>0.02</v>
      </c>
      <c r="K71" s="10">
        <v>0.04</v>
      </c>
      <c r="L71" s="10">
        <v>0.09</v>
      </c>
      <c r="M71" s="10">
        <v>0.1</v>
      </c>
      <c r="N71" s="10">
        <v>80100</v>
      </c>
      <c r="O71" s="10">
        <v>1.5</v>
      </c>
      <c r="P71" s="10">
        <v>13350000</v>
      </c>
      <c r="Q71" s="10">
        <v>7.9000000000000001E-2</v>
      </c>
    </row>
    <row r="72" spans="1:17" x14ac:dyDescent="0.35">
      <c r="A72" s="10" t="s">
        <v>468</v>
      </c>
      <c r="B72" s="10" t="s">
        <v>1557</v>
      </c>
      <c r="C72" s="10" t="s">
        <v>474</v>
      </c>
      <c r="D72" s="10">
        <v>5</v>
      </c>
      <c r="E72" s="10" t="s">
        <v>1554</v>
      </c>
      <c r="F72" s="10" t="s">
        <v>484</v>
      </c>
      <c r="G72" s="10">
        <v>7800000</v>
      </c>
      <c r="H72" s="10">
        <v>2200000</v>
      </c>
      <c r="I72" s="10">
        <v>8900000</v>
      </c>
      <c r="J72" s="10">
        <v>0.02</v>
      </c>
      <c r="K72" s="10">
        <v>7.0000000000000007E-2</v>
      </c>
      <c r="L72" s="10">
        <v>0.1575</v>
      </c>
      <c r="M72" s="10">
        <v>0.30224699999999999</v>
      </c>
      <c r="N72" s="10">
        <v>423675</v>
      </c>
      <c r="O72" s="10">
        <v>1.5</v>
      </c>
      <c r="P72" s="10">
        <v>13350000</v>
      </c>
      <c r="Q72" s="10">
        <v>7.9000000000000001E-2</v>
      </c>
    </row>
    <row r="73" spans="1:17" x14ac:dyDescent="0.35">
      <c r="A73" s="10" t="s">
        <v>1373</v>
      </c>
      <c r="B73" s="10" t="s">
        <v>1557</v>
      </c>
      <c r="C73" s="10" t="s">
        <v>1558</v>
      </c>
      <c r="D73" s="10">
        <v>4</v>
      </c>
      <c r="E73" s="10" t="s">
        <v>1554</v>
      </c>
      <c r="F73" s="10" t="s">
        <v>1555</v>
      </c>
      <c r="G73" s="10">
        <v>11100000</v>
      </c>
      <c r="H73" s="10">
        <v>1400000</v>
      </c>
      <c r="I73" s="10">
        <v>11800000</v>
      </c>
      <c r="J73" s="10">
        <v>8.0000000000000002E-3</v>
      </c>
      <c r="K73" s="10">
        <v>8.0000000000000002E-3</v>
      </c>
      <c r="L73" s="10">
        <v>1.7999999999999999E-2</v>
      </c>
      <c r="M73" s="10">
        <v>0.1</v>
      </c>
      <c r="N73" s="10">
        <v>21240</v>
      </c>
      <c r="O73" s="10">
        <v>1</v>
      </c>
      <c r="P73" s="10">
        <v>11800000</v>
      </c>
      <c r="Q73" s="10">
        <v>4.5999999999999999E-2</v>
      </c>
    </row>
    <row r="74" spans="1:17" x14ac:dyDescent="0.35">
      <c r="A74" s="10" t="s">
        <v>1373</v>
      </c>
      <c r="B74" s="10" t="s">
        <v>1557</v>
      </c>
      <c r="C74" s="10" t="s">
        <v>1558</v>
      </c>
      <c r="D74" s="10">
        <v>4</v>
      </c>
      <c r="E74" s="10" t="s">
        <v>1554</v>
      </c>
      <c r="F74" s="10" t="s">
        <v>1556</v>
      </c>
      <c r="G74" s="10">
        <v>11100000</v>
      </c>
      <c r="H74" s="10">
        <v>1400000</v>
      </c>
      <c r="I74" s="10">
        <v>11800000</v>
      </c>
      <c r="J74" s="10">
        <v>8.0000000000000002E-3</v>
      </c>
      <c r="K74" s="10">
        <v>1.6E-2</v>
      </c>
      <c r="L74" s="10">
        <v>3.5999999999999997E-2</v>
      </c>
      <c r="M74" s="10">
        <v>0.1</v>
      </c>
      <c r="N74" s="10">
        <v>42480</v>
      </c>
      <c r="O74" s="10">
        <v>1</v>
      </c>
      <c r="P74" s="10">
        <v>11800000</v>
      </c>
      <c r="Q74" s="10">
        <v>4.5999999999999999E-2</v>
      </c>
    </row>
    <row r="75" spans="1:17" x14ac:dyDescent="0.35">
      <c r="A75" s="10" t="s">
        <v>1373</v>
      </c>
      <c r="B75" s="10" t="s">
        <v>1557</v>
      </c>
      <c r="C75" s="10" t="s">
        <v>1558</v>
      </c>
      <c r="D75" s="10">
        <v>4</v>
      </c>
      <c r="E75" s="10" t="s">
        <v>1554</v>
      </c>
      <c r="F75" s="10" t="s">
        <v>484</v>
      </c>
      <c r="G75" s="10">
        <v>11100000</v>
      </c>
      <c r="H75" s="10">
        <v>1400000</v>
      </c>
      <c r="I75" s="10">
        <v>11800000</v>
      </c>
      <c r="J75" s="10">
        <v>8.0000000000000002E-3</v>
      </c>
      <c r="K75" s="10">
        <v>2.8000000000000001E-2</v>
      </c>
      <c r="L75" s="10">
        <v>6.3E-2</v>
      </c>
      <c r="M75" s="10">
        <v>0.199153</v>
      </c>
      <c r="N75" s="10">
        <v>148050</v>
      </c>
      <c r="O75" s="10">
        <v>1</v>
      </c>
      <c r="P75" s="10">
        <v>11800000</v>
      </c>
      <c r="Q75" s="10">
        <v>4.5999999999999999E-2</v>
      </c>
    </row>
    <row r="76" spans="1:17" x14ac:dyDescent="0.35">
      <c r="A76" s="10" t="s">
        <v>1376</v>
      </c>
      <c r="B76" s="10" t="s">
        <v>403</v>
      </c>
      <c r="C76" s="10" t="s">
        <v>399</v>
      </c>
      <c r="D76" s="10">
        <v>6</v>
      </c>
      <c r="E76" s="10" t="s">
        <v>1554</v>
      </c>
      <c r="F76" s="10" t="s">
        <v>1555</v>
      </c>
      <c r="G76" s="10">
        <v>3900000</v>
      </c>
      <c r="H76" s="10">
        <v>1100000</v>
      </c>
      <c r="I76" s="10">
        <v>4450000</v>
      </c>
      <c r="J76" s="10">
        <v>0.04</v>
      </c>
      <c r="K76" s="10">
        <v>0.04</v>
      </c>
      <c r="L76" s="10">
        <v>0.09</v>
      </c>
      <c r="M76" s="10">
        <v>0.43370799999999998</v>
      </c>
      <c r="N76" s="10">
        <v>173700</v>
      </c>
      <c r="O76" s="10">
        <v>1</v>
      </c>
      <c r="P76" s="10">
        <v>4450000</v>
      </c>
      <c r="Q76" s="10">
        <v>7.1499999999999994E-2</v>
      </c>
    </row>
    <row r="77" spans="1:17" x14ac:dyDescent="0.35">
      <c r="A77" s="10" t="s">
        <v>1376</v>
      </c>
      <c r="B77" s="10" t="s">
        <v>403</v>
      </c>
      <c r="C77" s="10" t="s">
        <v>399</v>
      </c>
      <c r="D77" s="10">
        <v>6</v>
      </c>
      <c r="E77" s="10" t="s">
        <v>1554</v>
      </c>
      <c r="F77" s="10" t="s">
        <v>1556</v>
      </c>
      <c r="G77" s="10">
        <v>3900000</v>
      </c>
      <c r="H77" s="10">
        <v>1100000</v>
      </c>
      <c r="I77" s="10">
        <v>4450000</v>
      </c>
      <c r="J77" s="10">
        <v>0.04</v>
      </c>
      <c r="K77" s="10">
        <v>7.1999999999999995E-2</v>
      </c>
      <c r="L77" s="10">
        <v>0.16200000000000001</v>
      </c>
      <c r="M77" s="10">
        <v>0.45</v>
      </c>
      <c r="N77" s="10">
        <v>324405</v>
      </c>
      <c r="O77" s="10">
        <v>1</v>
      </c>
      <c r="P77" s="10">
        <v>4450000</v>
      </c>
      <c r="Q77" s="10">
        <v>7.1499999999999994E-2</v>
      </c>
    </row>
    <row r="78" spans="1:17" x14ac:dyDescent="0.35">
      <c r="A78" s="10" t="s">
        <v>1376</v>
      </c>
      <c r="B78" s="10" t="s">
        <v>403</v>
      </c>
      <c r="C78" s="10" t="s">
        <v>399</v>
      </c>
      <c r="D78" s="10">
        <v>6</v>
      </c>
      <c r="E78" s="10" t="s">
        <v>1554</v>
      </c>
      <c r="F78" s="10" t="s">
        <v>484</v>
      </c>
      <c r="G78" s="10">
        <v>3900000</v>
      </c>
      <c r="H78" s="10">
        <v>1100000</v>
      </c>
      <c r="I78" s="10">
        <v>4450000</v>
      </c>
      <c r="J78" s="10">
        <v>0.04</v>
      </c>
      <c r="K78" s="10">
        <v>0.12</v>
      </c>
      <c r="L78" s="10">
        <v>0.27</v>
      </c>
      <c r="M78" s="10">
        <v>0.45</v>
      </c>
      <c r="N78" s="10">
        <v>540675</v>
      </c>
      <c r="O78" s="10">
        <v>1</v>
      </c>
      <c r="P78" s="10">
        <v>4450000</v>
      </c>
      <c r="Q78" s="10">
        <v>7.1499999999999994E-2</v>
      </c>
    </row>
    <row r="79" spans="1:17" x14ac:dyDescent="0.35">
      <c r="A79" s="10" t="s">
        <v>1379</v>
      </c>
      <c r="B79" s="10" t="s">
        <v>1557</v>
      </c>
      <c r="C79" s="10" t="s">
        <v>665</v>
      </c>
      <c r="D79" s="10">
        <v>7</v>
      </c>
      <c r="E79" s="10" t="s">
        <v>1554</v>
      </c>
      <c r="F79" s="10" t="s">
        <v>1555</v>
      </c>
      <c r="G79" s="10">
        <v>8800000</v>
      </c>
      <c r="H79" s="10">
        <v>700000</v>
      </c>
      <c r="I79" s="10">
        <v>9150000</v>
      </c>
      <c r="J79" s="10">
        <v>0.08</v>
      </c>
      <c r="K79" s="10">
        <v>0.08</v>
      </c>
      <c r="L79" s="10">
        <v>0.18</v>
      </c>
      <c r="M79" s="10">
        <v>0.1</v>
      </c>
      <c r="N79" s="10">
        <v>164700</v>
      </c>
      <c r="O79" s="10">
        <v>1</v>
      </c>
      <c r="P79" s="10">
        <v>9150000</v>
      </c>
      <c r="Q79" s="10">
        <v>5.8999999999999997E-2</v>
      </c>
    </row>
    <row r="80" spans="1:17" x14ac:dyDescent="0.35">
      <c r="A80" s="10" t="s">
        <v>1379</v>
      </c>
      <c r="B80" s="10" t="s">
        <v>1557</v>
      </c>
      <c r="C80" s="10" t="s">
        <v>665</v>
      </c>
      <c r="D80" s="10">
        <v>7</v>
      </c>
      <c r="E80" s="10" t="s">
        <v>1554</v>
      </c>
      <c r="F80" s="10" t="s">
        <v>1556</v>
      </c>
      <c r="G80" s="10">
        <v>8800000</v>
      </c>
      <c r="H80" s="10">
        <v>700000</v>
      </c>
      <c r="I80" s="10">
        <v>9150000</v>
      </c>
      <c r="J80" s="10">
        <v>0.08</v>
      </c>
      <c r="K80" s="10">
        <v>0.16</v>
      </c>
      <c r="L80" s="10">
        <v>0.36</v>
      </c>
      <c r="M80" s="10">
        <v>0.13442599999999999</v>
      </c>
      <c r="N80" s="10">
        <v>442800</v>
      </c>
      <c r="O80" s="10">
        <v>1</v>
      </c>
      <c r="P80" s="10">
        <v>9150000</v>
      </c>
      <c r="Q80" s="10">
        <v>5.8999999999999997E-2</v>
      </c>
    </row>
    <row r="81" spans="1:17" x14ac:dyDescent="0.35">
      <c r="A81" s="10" t="s">
        <v>1379</v>
      </c>
      <c r="B81" s="10" t="s">
        <v>1557</v>
      </c>
      <c r="C81" s="10" t="s">
        <v>665</v>
      </c>
      <c r="D81" s="10">
        <v>7</v>
      </c>
      <c r="E81" s="10" t="s">
        <v>1554</v>
      </c>
      <c r="F81" s="10" t="s">
        <v>484</v>
      </c>
      <c r="G81" s="10">
        <v>8800000</v>
      </c>
      <c r="H81" s="10">
        <v>700000</v>
      </c>
      <c r="I81" s="10">
        <v>9150000</v>
      </c>
      <c r="J81" s="10">
        <v>0.08</v>
      </c>
      <c r="K81" s="10">
        <v>0.28000000000000003</v>
      </c>
      <c r="L81" s="10">
        <v>0.63</v>
      </c>
      <c r="M81" s="10">
        <v>0.35082000000000002</v>
      </c>
      <c r="N81" s="10">
        <v>2022300</v>
      </c>
      <c r="O81" s="10">
        <v>1</v>
      </c>
      <c r="P81" s="10">
        <v>9150000</v>
      </c>
      <c r="Q81" s="10">
        <v>5.8999999999999997E-2</v>
      </c>
    </row>
    <row r="82" spans="1:17" x14ac:dyDescent="0.35">
      <c r="A82" s="10" t="s">
        <v>1382</v>
      </c>
      <c r="B82" s="10" t="s">
        <v>403</v>
      </c>
      <c r="C82" s="10" t="s">
        <v>660</v>
      </c>
      <c r="D82" s="10">
        <v>3</v>
      </c>
      <c r="E82" s="10" t="s">
        <v>1554</v>
      </c>
      <c r="F82" s="10" t="s">
        <v>1555</v>
      </c>
      <c r="G82" s="10">
        <v>2200000</v>
      </c>
      <c r="H82" s="10">
        <v>4300000</v>
      </c>
      <c r="I82" s="10">
        <v>4350000</v>
      </c>
      <c r="J82" s="10">
        <v>3.0000000000000001E-3</v>
      </c>
      <c r="K82" s="10">
        <v>3.0000000000000001E-3</v>
      </c>
      <c r="L82" s="10">
        <v>6.7499999999999999E-3</v>
      </c>
      <c r="M82" s="10">
        <v>0.45</v>
      </c>
      <c r="N82" s="10">
        <v>13213.12</v>
      </c>
      <c r="O82" s="10">
        <v>1</v>
      </c>
      <c r="P82" s="10">
        <v>4350000</v>
      </c>
      <c r="Q82" s="10">
        <v>6.8000000000000005E-2</v>
      </c>
    </row>
    <row r="83" spans="1:17" x14ac:dyDescent="0.35">
      <c r="A83" s="10" t="s">
        <v>1382</v>
      </c>
      <c r="B83" s="10" t="s">
        <v>403</v>
      </c>
      <c r="C83" s="10" t="s">
        <v>660</v>
      </c>
      <c r="D83" s="10">
        <v>3</v>
      </c>
      <c r="E83" s="10" t="s">
        <v>1554</v>
      </c>
      <c r="F83" s="10" t="s">
        <v>1556</v>
      </c>
      <c r="G83" s="10">
        <v>2200000</v>
      </c>
      <c r="H83" s="10">
        <v>4300000</v>
      </c>
      <c r="I83" s="10">
        <v>4350000</v>
      </c>
      <c r="J83" s="10">
        <v>3.0000000000000001E-3</v>
      </c>
      <c r="K83" s="10">
        <v>5.4000000000000003E-3</v>
      </c>
      <c r="L83" s="10">
        <v>1.2149999999999999E-2</v>
      </c>
      <c r="M83" s="10">
        <v>0.45</v>
      </c>
      <c r="N83" s="10">
        <v>23783.63</v>
      </c>
      <c r="O83" s="10">
        <v>1</v>
      </c>
      <c r="P83" s="10">
        <v>4350000</v>
      </c>
      <c r="Q83" s="10">
        <v>6.8000000000000005E-2</v>
      </c>
    </row>
    <row r="84" spans="1:17" x14ac:dyDescent="0.35">
      <c r="A84" s="10" t="s">
        <v>1382</v>
      </c>
      <c r="B84" s="10" t="s">
        <v>403</v>
      </c>
      <c r="C84" s="10" t="s">
        <v>660</v>
      </c>
      <c r="D84" s="10">
        <v>3</v>
      </c>
      <c r="E84" s="10" t="s">
        <v>1554</v>
      </c>
      <c r="F84" s="10" t="s">
        <v>484</v>
      </c>
      <c r="G84" s="10">
        <v>2200000</v>
      </c>
      <c r="H84" s="10">
        <v>4300000</v>
      </c>
      <c r="I84" s="10">
        <v>4350000</v>
      </c>
      <c r="J84" s="10">
        <v>3.0000000000000001E-3</v>
      </c>
      <c r="K84" s="10">
        <v>8.9999999999999993E-3</v>
      </c>
      <c r="L84" s="10">
        <v>2.0250000000000001E-2</v>
      </c>
      <c r="M84" s="10">
        <v>0.45</v>
      </c>
      <c r="N84" s="10">
        <v>39639.379999999997</v>
      </c>
      <c r="O84" s="10">
        <v>1</v>
      </c>
      <c r="P84" s="10">
        <v>4350000</v>
      </c>
      <c r="Q84" s="10">
        <v>6.8000000000000005E-2</v>
      </c>
    </row>
    <row r="85" spans="1:17" x14ac:dyDescent="0.35">
      <c r="A85" s="10" t="s">
        <v>1385</v>
      </c>
      <c r="B85" s="10" t="s">
        <v>403</v>
      </c>
      <c r="C85" s="10" t="s">
        <v>399</v>
      </c>
      <c r="D85" s="10">
        <v>5</v>
      </c>
      <c r="E85" s="10" t="s">
        <v>1554</v>
      </c>
      <c r="F85" s="10" t="s">
        <v>1555</v>
      </c>
      <c r="G85" s="10">
        <v>1900000</v>
      </c>
      <c r="H85" s="10">
        <v>1900000</v>
      </c>
      <c r="I85" s="10">
        <v>2850000</v>
      </c>
      <c r="J85" s="10">
        <v>0.02</v>
      </c>
      <c r="K85" s="10">
        <v>0.02</v>
      </c>
      <c r="L85" s="10">
        <v>4.4999999999999998E-2</v>
      </c>
      <c r="M85" s="10">
        <v>0.45</v>
      </c>
      <c r="N85" s="10">
        <v>57712.5</v>
      </c>
      <c r="O85" s="10">
        <v>1</v>
      </c>
      <c r="P85" s="10">
        <v>2850000</v>
      </c>
      <c r="Q85" s="10">
        <v>7.0499999999999993E-2</v>
      </c>
    </row>
    <row r="86" spans="1:17" x14ac:dyDescent="0.35">
      <c r="A86" s="10" t="s">
        <v>1385</v>
      </c>
      <c r="B86" s="10" t="s">
        <v>403</v>
      </c>
      <c r="C86" s="10" t="s">
        <v>399</v>
      </c>
      <c r="D86" s="10">
        <v>5</v>
      </c>
      <c r="E86" s="10" t="s">
        <v>1554</v>
      </c>
      <c r="F86" s="10" t="s">
        <v>1556</v>
      </c>
      <c r="G86" s="10">
        <v>1900000</v>
      </c>
      <c r="H86" s="10">
        <v>1900000</v>
      </c>
      <c r="I86" s="10">
        <v>2850000</v>
      </c>
      <c r="J86" s="10">
        <v>0.02</v>
      </c>
      <c r="K86" s="10">
        <v>3.5999999999999997E-2</v>
      </c>
      <c r="L86" s="10">
        <v>8.1000000000000003E-2</v>
      </c>
      <c r="M86" s="10">
        <v>0.45</v>
      </c>
      <c r="N86" s="10">
        <v>103882.5</v>
      </c>
      <c r="O86" s="10">
        <v>1</v>
      </c>
      <c r="P86" s="10">
        <v>2850000</v>
      </c>
      <c r="Q86" s="10">
        <v>7.0499999999999993E-2</v>
      </c>
    </row>
    <row r="87" spans="1:17" x14ac:dyDescent="0.35">
      <c r="A87" s="10" t="s">
        <v>1385</v>
      </c>
      <c r="B87" s="10" t="s">
        <v>403</v>
      </c>
      <c r="C87" s="10" t="s">
        <v>399</v>
      </c>
      <c r="D87" s="10">
        <v>5</v>
      </c>
      <c r="E87" s="10" t="s">
        <v>1554</v>
      </c>
      <c r="F87" s="10" t="s">
        <v>484</v>
      </c>
      <c r="G87" s="10">
        <v>1900000</v>
      </c>
      <c r="H87" s="10">
        <v>1900000</v>
      </c>
      <c r="I87" s="10">
        <v>2850000</v>
      </c>
      <c r="J87" s="10">
        <v>0.02</v>
      </c>
      <c r="K87" s="10">
        <v>0.06</v>
      </c>
      <c r="L87" s="10">
        <v>0.13500000000000001</v>
      </c>
      <c r="M87" s="10">
        <v>0.45</v>
      </c>
      <c r="N87" s="10">
        <v>173137.5</v>
      </c>
      <c r="O87" s="10">
        <v>1</v>
      </c>
      <c r="P87" s="10">
        <v>2850000</v>
      </c>
      <c r="Q87" s="10">
        <v>7.0499999999999993E-2</v>
      </c>
    </row>
    <row r="88" spans="1:17" x14ac:dyDescent="0.35">
      <c r="A88" s="10" t="s">
        <v>1388</v>
      </c>
      <c r="B88" s="10" t="s">
        <v>403</v>
      </c>
      <c r="C88" s="10" t="s">
        <v>399</v>
      </c>
      <c r="D88" s="10">
        <v>5</v>
      </c>
      <c r="E88" s="10" t="s">
        <v>1561</v>
      </c>
      <c r="F88" s="10" t="s">
        <v>1555</v>
      </c>
      <c r="G88" s="10">
        <v>3600000</v>
      </c>
      <c r="H88" s="10">
        <v>600000</v>
      </c>
      <c r="I88" s="10">
        <v>3900000</v>
      </c>
      <c r="J88" s="10">
        <v>0.15</v>
      </c>
      <c r="K88" s="10">
        <v>0.15</v>
      </c>
      <c r="L88" s="10">
        <v>0.33750000000000002</v>
      </c>
      <c r="M88" s="10">
        <v>0.45</v>
      </c>
      <c r="N88" s="10">
        <v>592312.5</v>
      </c>
      <c r="O88" s="10">
        <v>1</v>
      </c>
      <c r="P88" s="10">
        <v>3900000</v>
      </c>
      <c r="Q88" s="10">
        <v>7.1999999999999995E-2</v>
      </c>
    </row>
    <row r="89" spans="1:17" x14ac:dyDescent="0.35">
      <c r="A89" s="10" t="s">
        <v>1388</v>
      </c>
      <c r="B89" s="10" t="s">
        <v>403</v>
      </c>
      <c r="C89" s="10" t="s">
        <v>399</v>
      </c>
      <c r="D89" s="10">
        <v>5</v>
      </c>
      <c r="E89" s="10" t="s">
        <v>1561</v>
      </c>
      <c r="F89" s="10" t="s">
        <v>1556</v>
      </c>
      <c r="G89" s="10">
        <v>3600000</v>
      </c>
      <c r="H89" s="10">
        <v>600000</v>
      </c>
      <c r="I89" s="10">
        <v>3900000</v>
      </c>
      <c r="J89" s="10">
        <v>0.15</v>
      </c>
      <c r="K89" s="10">
        <v>0.27</v>
      </c>
      <c r="L89" s="10">
        <v>0.60750000000000004</v>
      </c>
      <c r="M89" s="10">
        <v>0.45</v>
      </c>
      <c r="N89" s="10">
        <v>1066162.5</v>
      </c>
      <c r="O89" s="10">
        <v>1</v>
      </c>
      <c r="P89" s="10">
        <v>3900000</v>
      </c>
      <c r="Q89" s="10">
        <v>7.1999999999999995E-2</v>
      </c>
    </row>
    <row r="90" spans="1:17" x14ac:dyDescent="0.35">
      <c r="A90" s="10" t="s">
        <v>1388</v>
      </c>
      <c r="B90" s="10" t="s">
        <v>403</v>
      </c>
      <c r="C90" s="10" t="s">
        <v>399</v>
      </c>
      <c r="D90" s="10">
        <v>5</v>
      </c>
      <c r="E90" s="10" t="s">
        <v>1561</v>
      </c>
      <c r="F90" s="10" t="s">
        <v>484</v>
      </c>
      <c r="G90" s="10">
        <v>3600000</v>
      </c>
      <c r="H90" s="10">
        <v>600000</v>
      </c>
      <c r="I90" s="10">
        <v>3900000</v>
      </c>
      <c r="J90" s="10">
        <v>0.15</v>
      </c>
      <c r="K90" s="10">
        <v>0.45</v>
      </c>
      <c r="L90" s="10">
        <v>1</v>
      </c>
      <c r="M90" s="10">
        <v>0.45</v>
      </c>
      <c r="N90" s="10">
        <v>1755000</v>
      </c>
      <c r="O90" s="10">
        <v>1</v>
      </c>
      <c r="P90" s="10">
        <v>3900000</v>
      </c>
      <c r="Q90" s="10">
        <v>7.1999999999999995E-2</v>
      </c>
    </row>
    <row r="91" spans="1:17" x14ac:dyDescent="0.35">
      <c r="A91" s="10" t="s">
        <v>449</v>
      </c>
      <c r="B91" s="10" t="s">
        <v>403</v>
      </c>
      <c r="C91" s="10" t="s">
        <v>660</v>
      </c>
      <c r="D91" s="10">
        <v>7</v>
      </c>
      <c r="E91" s="10" t="s">
        <v>456</v>
      </c>
      <c r="F91" s="10" t="s">
        <v>1555</v>
      </c>
      <c r="G91" s="10">
        <v>1950000</v>
      </c>
      <c r="H91" s="10">
        <v>50000</v>
      </c>
      <c r="I91" s="10">
        <v>1975000</v>
      </c>
      <c r="J91" s="10">
        <v>1</v>
      </c>
      <c r="K91" s="10">
        <v>1</v>
      </c>
      <c r="L91" s="10">
        <v>1</v>
      </c>
      <c r="M91" s="10">
        <v>0.45</v>
      </c>
      <c r="N91" s="10">
        <v>888750</v>
      </c>
      <c r="O91" s="10">
        <v>1.5</v>
      </c>
      <c r="P91" s="10">
        <v>2962500</v>
      </c>
      <c r="Q91" s="10">
        <v>8.3000000000000004E-2</v>
      </c>
    </row>
    <row r="92" spans="1:17" x14ac:dyDescent="0.35">
      <c r="A92" s="10" t="s">
        <v>449</v>
      </c>
      <c r="B92" s="10" t="s">
        <v>403</v>
      </c>
      <c r="C92" s="10" t="s">
        <v>660</v>
      </c>
      <c r="D92" s="10">
        <v>7</v>
      </c>
      <c r="E92" s="10" t="s">
        <v>456</v>
      </c>
      <c r="F92" s="10" t="s">
        <v>1556</v>
      </c>
      <c r="G92" s="10">
        <v>1950000</v>
      </c>
      <c r="H92" s="10">
        <v>50000</v>
      </c>
      <c r="I92" s="10">
        <v>1975000</v>
      </c>
      <c r="J92" s="10">
        <v>1</v>
      </c>
      <c r="K92" s="10">
        <v>1</v>
      </c>
      <c r="L92" s="10">
        <v>1</v>
      </c>
      <c r="M92" s="10">
        <v>0.45</v>
      </c>
      <c r="N92" s="10">
        <v>888750</v>
      </c>
      <c r="O92" s="10">
        <v>1.5</v>
      </c>
      <c r="P92" s="10">
        <v>2962500</v>
      </c>
      <c r="Q92" s="10">
        <v>8.3000000000000004E-2</v>
      </c>
    </row>
    <row r="93" spans="1:17" x14ac:dyDescent="0.35">
      <c r="A93" s="10" t="s">
        <v>449</v>
      </c>
      <c r="B93" s="10" t="s">
        <v>403</v>
      </c>
      <c r="C93" s="10" t="s">
        <v>660</v>
      </c>
      <c r="D93" s="10">
        <v>7</v>
      </c>
      <c r="E93" s="10" t="s">
        <v>456</v>
      </c>
      <c r="F93" s="10" t="s">
        <v>484</v>
      </c>
      <c r="G93" s="10">
        <v>1950000</v>
      </c>
      <c r="H93" s="10">
        <v>50000</v>
      </c>
      <c r="I93" s="10">
        <v>1975000</v>
      </c>
      <c r="J93" s="10">
        <v>1</v>
      </c>
      <c r="K93" s="10">
        <v>1</v>
      </c>
      <c r="L93" s="10">
        <v>1</v>
      </c>
      <c r="M93" s="10">
        <v>0.45</v>
      </c>
      <c r="N93" s="10">
        <v>888750</v>
      </c>
      <c r="O93" s="10">
        <v>1.5</v>
      </c>
      <c r="P93" s="10">
        <v>2962500</v>
      </c>
      <c r="Q93" s="10">
        <v>8.3000000000000004E-2</v>
      </c>
    </row>
    <row r="94" spans="1:17" x14ac:dyDescent="0.35">
      <c r="A94" s="10" t="s">
        <v>1393</v>
      </c>
      <c r="B94" s="10" t="s">
        <v>1557</v>
      </c>
      <c r="C94" s="10" t="s">
        <v>474</v>
      </c>
      <c r="D94" s="10">
        <v>4</v>
      </c>
      <c r="E94" s="10" t="s">
        <v>1554</v>
      </c>
      <c r="F94" s="10" t="s">
        <v>1555</v>
      </c>
      <c r="G94" s="10">
        <v>10600000</v>
      </c>
      <c r="H94" s="10">
        <v>400000</v>
      </c>
      <c r="I94" s="10">
        <v>10800000</v>
      </c>
      <c r="J94" s="10">
        <v>8.0000000000000002E-3</v>
      </c>
      <c r="K94" s="10">
        <v>8.0000000000000002E-3</v>
      </c>
      <c r="L94" s="10">
        <v>1.7999999999999999E-2</v>
      </c>
      <c r="M94" s="10">
        <v>0.1</v>
      </c>
      <c r="N94" s="10">
        <v>19440</v>
      </c>
      <c r="O94" s="10">
        <v>1</v>
      </c>
      <c r="P94" s="10">
        <v>10800000</v>
      </c>
      <c r="Q94" s="10">
        <v>5.8000000000000003E-2</v>
      </c>
    </row>
    <row r="95" spans="1:17" x14ac:dyDescent="0.35">
      <c r="A95" s="10" t="s">
        <v>1393</v>
      </c>
      <c r="B95" s="10" t="s">
        <v>1557</v>
      </c>
      <c r="C95" s="10" t="s">
        <v>474</v>
      </c>
      <c r="D95" s="10">
        <v>4</v>
      </c>
      <c r="E95" s="10" t="s">
        <v>1554</v>
      </c>
      <c r="F95" s="10" t="s">
        <v>1556</v>
      </c>
      <c r="G95" s="10">
        <v>10600000</v>
      </c>
      <c r="H95" s="10">
        <v>400000</v>
      </c>
      <c r="I95" s="10">
        <v>10800000</v>
      </c>
      <c r="J95" s="10">
        <v>8.0000000000000002E-3</v>
      </c>
      <c r="K95" s="10">
        <v>1.6E-2</v>
      </c>
      <c r="L95" s="10">
        <v>3.5999999999999997E-2</v>
      </c>
      <c r="M95" s="10">
        <v>0.1</v>
      </c>
      <c r="N95" s="10">
        <v>38880</v>
      </c>
      <c r="O95" s="10">
        <v>1</v>
      </c>
      <c r="P95" s="10">
        <v>10800000</v>
      </c>
      <c r="Q95" s="10">
        <v>5.8000000000000003E-2</v>
      </c>
    </row>
    <row r="96" spans="1:17" x14ac:dyDescent="0.35">
      <c r="A96" s="10" t="s">
        <v>1393</v>
      </c>
      <c r="B96" s="10" t="s">
        <v>1557</v>
      </c>
      <c r="C96" s="10" t="s">
        <v>474</v>
      </c>
      <c r="D96" s="10">
        <v>4</v>
      </c>
      <c r="E96" s="10" t="s">
        <v>1554</v>
      </c>
      <c r="F96" s="10" t="s">
        <v>484</v>
      </c>
      <c r="G96" s="10">
        <v>10600000</v>
      </c>
      <c r="H96" s="10">
        <v>400000</v>
      </c>
      <c r="I96" s="10">
        <v>10800000</v>
      </c>
      <c r="J96" s="10">
        <v>8.0000000000000002E-3</v>
      </c>
      <c r="K96" s="10">
        <v>2.8000000000000001E-2</v>
      </c>
      <c r="L96" s="10">
        <v>6.3E-2</v>
      </c>
      <c r="M96" s="10">
        <v>0.2</v>
      </c>
      <c r="N96" s="10">
        <v>136080</v>
      </c>
      <c r="O96" s="10">
        <v>1</v>
      </c>
      <c r="P96" s="10">
        <v>10800000</v>
      </c>
      <c r="Q96" s="10">
        <v>5.8000000000000003E-2</v>
      </c>
    </row>
    <row r="97" spans="1:17" x14ac:dyDescent="0.35">
      <c r="A97" s="10" t="s">
        <v>1396</v>
      </c>
      <c r="B97" s="10" t="s">
        <v>403</v>
      </c>
      <c r="C97" s="10" t="s">
        <v>399</v>
      </c>
      <c r="D97" s="10">
        <v>3</v>
      </c>
      <c r="E97" s="10" t="s">
        <v>1554</v>
      </c>
      <c r="F97" s="10" t="s">
        <v>1555</v>
      </c>
      <c r="G97" s="10">
        <v>6400000</v>
      </c>
      <c r="H97" s="10">
        <v>600000</v>
      </c>
      <c r="I97" s="10">
        <v>6700000</v>
      </c>
      <c r="J97" s="10">
        <v>3.0000000000000001E-3</v>
      </c>
      <c r="K97" s="10">
        <v>3.0000000000000001E-3</v>
      </c>
      <c r="L97" s="10">
        <v>6.7499999999999999E-3</v>
      </c>
      <c r="M97" s="10">
        <v>0.45</v>
      </c>
      <c r="N97" s="10">
        <v>20351.25</v>
      </c>
      <c r="O97" s="10">
        <v>1</v>
      </c>
      <c r="P97" s="10">
        <v>6700000</v>
      </c>
      <c r="Q97" s="10">
        <v>6.7000000000000004E-2</v>
      </c>
    </row>
    <row r="98" spans="1:17" x14ac:dyDescent="0.35">
      <c r="A98" s="10" t="s">
        <v>1396</v>
      </c>
      <c r="B98" s="10" t="s">
        <v>403</v>
      </c>
      <c r="C98" s="10" t="s">
        <v>399</v>
      </c>
      <c r="D98" s="10">
        <v>3</v>
      </c>
      <c r="E98" s="10" t="s">
        <v>1554</v>
      </c>
      <c r="F98" s="10" t="s">
        <v>1556</v>
      </c>
      <c r="G98" s="10">
        <v>6400000</v>
      </c>
      <c r="H98" s="10">
        <v>600000</v>
      </c>
      <c r="I98" s="10">
        <v>6700000</v>
      </c>
      <c r="J98" s="10">
        <v>3.0000000000000001E-3</v>
      </c>
      <c r="K98" s="10">
        <v>5.4000000000000003E-3</v>
      </c>
      <c r="L98" s="10">
        <v>1.2149999999999999E-2</v>
      </c>
      <c r="M98" s="10">
        <v>0.45</v>
      </c>
      <c r="N98" s="10">
        <v>36632.25</v>
      </c>
      <c r="O98" s="10">
        <v>1</v>
      </c>
      <c r="P98" s="10">
        <v>6700000</v>
      </c>
      <c r="Q98" s="10">
        <v>6.7000000000000004E-2</v>
      </c>
    </row>
    <row r="99" spans="1:17" x14ac:dyDescent="0.35">
      <c r="A99" s="10" t="s">
        <v>1396</v>
      </c>
      <c r="B99" s="10" t="s">
        <v>403</v>
      </c>
      <c r="C99" s="10" t="s">
        <v>399</v>
      </c>
      <c r="D99" s="10">
        <v>3</v>
      </c>
      <c r="E99" s="10" t="s">
        <v>1554</v>
      </c>
      <c r="F99" s="10" t="s">
        <v>484</v>
      </c>
      <c r="G99" s="10">
        <v>6400000</v>
      </c>
      <c r="H99" s="10">
        <v>600000</v>
      </c>
      <c r="I99" s="10">
        <v>6700000</v>
      </c>
      <c r="J99" s="10">
        <v>3.0000000000000001E-3</v>
      </c>
      <c r="K99" s="10">
        <v>8.9999999999999993E-3</v>
      </c>
      <c r="L99" s="10">
        <v>2.0250000000000001E-2</v>
      </c>
      <c r="M99" s="10">
        <v>0.45</v>
      </c>
      <c r="N99" s="10">
        <v>61053.75</v>
      </c>
      <c r="O99" s="10">
        <v>1</v>
      </c>
      <c r="P99" s="10">
        <v>6700000</v>
      </c>
      <c r="Q99" s="10">
        <v>6.7000000000000004E-2</v>
      </c>
    </row>
    <row r="100" spans="1:17" x14ac:dyDescent="0.35">
      <c r="A100" s="10" t="s">
        <v>1399</v>
      </c>
      <c r="B100" s="10" t="s">
        <v>1557</v>
      </c>
      <c r="C100" s="10" t="s">
        <v>667</v>
      </c>
      <c r="D100" s="10">
        <v>3</v>
      </c>
      <c r="E100" s="10" t="s">
        <v>1554</v>
      </c>
      <c r="F100" s="10" t="s">
        <v>1555</v>
      </c>
      <c r="G100" s="10">
        <v>8700000</v>
      </c>
      <c r="H100" s="10">
        <v>300000</v>
      </c>
      <c r="I100" s="10">
        <v>8850000</v>
      </c>
      <c r="J100" s="10">
        <v>3.0000000000000001E-3</v>
      </c>
      <c r="K100" s="10">
        <v>3.0000000000000001E-3</v>
      </c>
      <c r="L100" s="10">
        <v>6.7499999999999999E-3</v>
      </c>
      <c r="M100" s="10">
        <v>0.1</v>
      </c>
      <c r="N100" s="10">
        <v>5973.75</v>
      </c>
      <c r="O100" s="10">
        <v>1</v>
      </c>
      <c r="P100" s="10">
        <v>8850000</v>
      </c>
      <c r="Q100" s="10">
        <v>6.2E-2</v>
      </c>
    </row>
    <row r="101" spans="1:17" x14ac:dyDescent="0.35">
      <c r="A101" s="10" t="s">
        <v>1399</v>
      </c>
      <c r="B101" s="10" t="s">
        <v>1557</v>
      </c>
      <c r="C101" s="10" t="s">
        <v>667</v>
      </c>
      <c r="D101" s="10">
        <v>3</v>
      </c>
      <c r="E101" s="10" t="s">
        <v>1554</v>
      </c>
      <c r="F101" s="10" t="s">
        <v>1556</v>
      </c>
      <c r="G101" s="10">
        <v>8700000</v>
      </c>
      <c r="H101" s="10">
        <v>300000</v>
      </c>
      <c r="I101" s="10">
        <v>8850000</v>
      </c>
      <c r="J101" s="10">
        <v>3.0000000000000001E-3</v>
      </c>
      <c r="K101" s="10">
        <v>6.0000000000000001E-3</v>
      </c>
      <c r="L101" s="10">
        <v>1.35E-2</v>
      </c>
      <c r="M101" s="10">
        <v>0.1</v>
      </c>
      <c r="N101" s="10">
        <v>11947.5</v>
      </c>
      <c r="O101" s="10">
        <v>1</v>
      </c>
      <c r="P101" s="10">
        <v>8850000</v>
      </c>
      <c r="Q101" s="10">
        <v>6.2E-2</v>
      </c>
    </row>
    <row r="102" spans="1:17" x14ac:dyDescent="0.35">
      <c r="A102" s="10" t="s">
        <v>1399</v>
      </c>
      <c r="B102" s="10" t="s">
        <v>1557</v>
      </c>
      <c r="C102" s="10" t="s">
        <v>667</v>
      </c>
      <c r="D102" s="10">
        <v>3</v>
      </c>
      <c r="E102" s="10" t="s">
        <v>1554</v>
      </c>
      <c r="F102" s="10" t="s">
        <v>484</v>
      </c>
      <c r="G102" s="10">
        <v>8700000</v>
      </c>
      <c r="H102" s="10">
        <v>300000</v>
      </c>
      <c r="I102" s="10">
        <v>8850000</v>
      </c>
      <c r="J102" s="10">
        <v>3.0000000000000001E-3</v>
      </c>
      <c r="K102" s="10">
        <v>1.0500000000000001E-2</v>
      </c>
      <c r="L102" s="10">
        <v>2.3625E-2</v>
      </c>
      <c r="M102" s="10">
        <v>0.17627100000000001</v>
      </c>
      <c r="N102" s="10">
        <v>36855</v>
      </c>
      <c r="O102" s="10">
        <v>1</v>
      </c>
      <c r="P102" s="10">
        <v>8850000</v>
      </c>
      <c r="Q102" s="10">
        <v>6.2E-2</v>
      </c>
    </row>
    <row r="103" spans="1:17" x14ac:dyDescent="0.35">
      <c r="A103" s="10" t="s">
        <v>1402</v>
      </c>
      <c r="B103" s="10" t="s">
        <v>403</v>
      </c>
      <c r="C103" s="10" t="s">
        <v>399</v>
      </c>
      <c r="D103" s="10">
        <v>4</v>
      </c>
      <c r="E103" s="10" t="s">
        <v>1554</v>
      </c>
      <c r="F103" s="10" t="s">
        <v>1555</v>
      </c>
      <c r="G103" s="10">
        <v>1500000</v>
      </c>
      <c r="H103" s="10">
        <v>1300000</v>
      </c>
      <c r="I103" s="10">
        <v>2150000</v>
      </c>
      <c r="J103" s="10">
        <v>8.0000000000000002E-3</v>
      </c>
      <c r="K103" s="10">
        <v>8.0000000000000002E-3</v>
      </c>
      <c r="L103" s="10">
        <v>1.7999999999999999E-2</v>
      </c>
      <c r="M103" s="10">
        <v>0.45</v>
      </c>
      <c r="N103" s="10">
        <v>17415</v>
      </c>
      <c r="O103" s="10">
        <v>1</v>
      </c>
      <c r="P103" s="10">
        <v>2150000</v>
      </c>
      <c r="Q103" s="10">
        <v>7.3499999999999996E-2</v>
      </c>
    </row>
    <row r="104" spans="1:17" x14ac:dyDescent="0.35">
      <c r="A104" s="10" t="s">
        <v>1402</v>
      </c>
      <c r="B104" s="10" t="s">
        <v>403</v>
      </c>
      <c r="C104" s="10" t="s">
        <v>399</v>
      </c>
      <c r="D104" s="10">
        <v>4</v>
      </c>
      <c r="E104" s="10" t="s">
        <v>1554</v>
      </c>
      <c r="F104" s="10" t="s">
        <v>1556</v>
      </c>
      <c r="G104" s="10">
        <v>1500000</v>
      </c>
      <c r="H104" s="10">
        <v>1300000</v>
      </c>
      <c r="I104" s="10">
        <v>2150000</v>
      </c>
      <c r="J104" s="10">
        <v>8.0000000000000002E-3</v>
      </c>
      <c r="K104" s="10">
        <v>1.44E-2</v>
      </c>
      <c r="L104" s="10">
        <v>3.2399999999999998E-2</v>
      </c>
      <c r="M104" s="10">
        <v>0.45</v>
      </c>
      <c r="N104" s="10">
        <v>31347</v>
      </c>
      <c r="O104" s="10">
        <v>1</v>
      </c>
      <c r="P104" s="10">
        <v>2150000</v>
      </c>
      <c r="Q104" s="10">
        <v>7.3499999999999996E-2</v>
      </c>
    </row>
    <row r="105" spans="1:17" x14ac:dyDescent="0.35">
      <c r="A105" s="10" t="s">
        <v>1402</v>
      </c>
      <c r="B105" s="10" t="s">
        <v>403</v>
      </c>
      <c r="C105" s="10" t="s">
        <v>399</v>
      </c>
      <c r="D105" s="10">
        <v>4</v>
      </c>
      <c r="E105" s="10" t="s">
        <v>1554</v>
      </c>
      <c r="F105" s="10" t="s">
        <v>484</v>
      </c>
      <c r="G105" s="10">
        <v>1500000</v>
      </c>
      <c r="H105" s="10">
        <v>1300000</v>
      </c>
      <c r="I105" s="10">
        <v>2150000</v>
      </c>
      <c r="J105" s="10">
        <v>8.0000000000000002E-3</v>
      </c>
      <c r="K105" s="10">
        <v>2.4E-2</v>
      </c>
      <c r="L105" s="10">
        <v>5.3999999999999999E-2</v>
      </c>
      <c r="M105" s="10">
        <v>0.45</v>
      </c>
      <c r="N105" s="10">
        <v>52245</v>
      </c>
      <c r="O105" s="10">
        <v>1</v>
      </c>
      <c r="P105" s="10">
        <v>2150000</v>
      </c>
      <c r="Q105" s="10">
        <v>7.3499999999999996E-2</v>
      </c>
    </row>
    <row r="106" spans="1:17" x14ac:dyDescent="0.35">
      <c r="A106" s="10" t="s">
        <v>1405</v>
      </c>
      <c r="B106" s="10" t="s">
        <v>403</v>
      </c>
      <c r="C106" s="10" t="s">
        <v>660</v>
      </c>
      <c r="D106" s="10">
        <v>7</v>
      </c>
      <c r="E106" s="10" t="s">
        <v>1559</v>
      </c>
      <c r="F106" s="10" t="s">
        <v>1555</v>
      </c>
      <c r="G106" s="10">
        <v>3100000</v>
      </c>
      <c r="H106" s="10">
        <v>400000</v>
      </c>
      <c r="I106" s="10">
        <v>3300000</v>
      </c>
      <c r="J106" s="10">
        <v>0.15</v>
      </c>
      <c r="K106" s="10">
        <v>0.15</v>
      </c>
      <c r="L106" s="10">
        <v>0.33750000000000002</v>
      </c>
      <c r="M106" s="10">
        <v>0.45</v>
      </c>
      <c r="N106" s="10">
        <v>501187.5</v>
      </c>
      <c r="O106" s="10">
        <v>1</v>
      </c>
      <c r="P106" s="10">
        <v>3300000</v>
      </c>
      <c r="Q106" s="10">
        <v>8.2000000000000003E-2</v>
      </c>
    </row>
    <row r="107" spans="1:17" x14ac:dyDescent="0.35">
      <c r="A107" s="10" t="s">
        <v>1405</v>
      </c>
      <c r="B107" s="10" t="s">
        <v>403</v>
      </c>
      <c r="C107" s="10" t="s">
        <v>660</v>
      </c>
      <c r="D107" s="10">
        <v>7</v>
      </c>
      <c r="E107" s="10" t="s">
        <v>1559</v>
      </c>
      <c r="F107" s="10" t="s">
        <v>1556</v>
      </c>
      <c r="G107" s="10">
        <v>3100000</v>
      </c>
      <c r="H107" s="10">
        <v>400000</v>
      </c>
      <c r="I107" s="10">
        <v>3300000</v>
      </c>
      <c r="J107" s="10">
        <v>0.15</v>
      </c>
      <c r="K107" s="10">
        <v>0.27</v>
      </c>
      <c r="L107" s="10">
        <v>0.60750000000000004</v>
      </c>
      <c r="M107" s="10">
        <v>0.45</v>
      </c>
      <c r="N107" s="10">
        <v>902137.5</v>
      </c>
      <c r="O107" s="10">
        <v>1</v>
      </c>
      <c r="P107" s="10">
        <v>3300000</v>
      </c>
      <c r="Q107" s="10">
        <v>8.2000000000000003E-2</v>
      </c>
    </row>
    <row r="108" spans="1:17" x14ac:dyDescent="0.35">
      <c r="A108" s="10" t="s">
        <v>1405</v>
      </c>
      <c r="B108" s="10" t="s">
        <v>403</v>
      </c>
      <c r="C108" s="10" t="s">
        <v>660</v>
      </c>
      <c r="D108" s="10">
        <v>7</v>
      </c>
      <c r="E108" s="10" t="s">
        <v>1559</v>
      </c>
      <c r="F108" s="10" t="s">
        <v>484</v>
      </c>
      <c r="G108" s="10">
        <v>3100000</v>
      </c>
      <c r="H108" s="10">
        <v>400000</v>
      </c>
      <c r="I108" s="10">
        <v>3300000</v>
      </c>
      <c r="J108" s="10">
        <v>0.15</v>
      </c>
      <c r="K108" s="10">
        <v>0.45</v>
      </c>
      <c r="L108" s="10">
        <v>1</v>
      </c>
      <c r="M108" s="10">
        <v>0.45</v>
      </c>
      <c r="N108" s="10">
        <v>1485000</v>
      </c>
      <c r="O108" s="10">
        <v>1</v>
      </c>
      <c r="P108" s="10">
        <v>3300000</v>
      </c>
      <c r="Q108" s="10">
        <v>8.2000000000000003E-2</v>
      </c>
    </row>
    <row r="109" spans="1:17" x14ac:dyDescent="0.35">
      <c r="A109" s="10" t="s">
        <v>1408</v>
      </c>
      <c r="B109" s="10" t="s">
        <v>1557</v>
      </c>
      <c r="C109" s="10" t="s">
        <v>1558</v>
      </c>
      <c r="D109" s="10">
        <v>5</v>
      </c>
      <c r="E109" s="10" t="s">
        <v>1554</v>
      </c>
      <c r="F109" s="10" t="s">
        <v>1555</v>
      </c>
      <c r="G109" s="10">
        <v>12800000</v>
      </c>
      <c r="H109" s="10">
        <v>200000</v>
      </c>
      <c r="I109" s="10">
        <v>12900000</v>
      </c>
      <c r="J109" s="10">
        <v>0.02</v>
      </c>
      <c r="K109" s="10">
        <v>0.02</v>
      </c>
      <c r="L109" s="10">
        <v>4.4999999999999998E-2</v>
      </c>
      <c r="M109" s="10">
        <v>0.1</v>
      </c>
      <c r="N109" s="10">
        <v>58050</v>
      </c>
      <c r="O109" s="10">
        <v>1</v>
      </c>
      <c r="P109" s="10">
        <v>12900000</v>
      </c>
      <c r="Q109" s="10">
        <v>0.06</v>
      </c>
    </row>
    <row r="110" spans="1:17" x14ac:dyDescent="0.35">
      <c r="A110" s="10" t="s">
        <v>1408</v>
      </c>
      <c r="B110" s="10" t="s">
        <v>1557</v>
      </c>
      <c r="C110" s="10" t="s">
        <v>1558</v>
      </c>
      <c r="D110" s="10">
        <v>5</v>
      </c>
      <c r="E110" s="10" t="s">
        <v>1554</v>
      </c>
      <c r="F110" s="10" t="s">
        <v>1556</v>
      </c>
      <c r="G110" s="10">
        <v>12800000</v>
      </c>
      <c r="H110" s="10">
        <v>200000</v>
      </c>
      <c r="I110" s="10">
        <v>12900000</v>
      </c>
      <c r="J110" s="10">
        <v>0.02</v>
      </c>
      <c r="K110" s="10">
        <v>0.04</v>
      </c>
      <c r="L110" s="10">
        <v>0.09</v>
      </c>
      <c r="M110" s="10">
        <v>0.1</v>
      </c>
      <c r="N110" s="10">
        <v>116100</v>
      </c>
      <c r="O110" s="10">
        <v>1</v>
      </c>
      <c r="P110" s="10">
        <v>12900000</v>
      </c>
      <c r="Q110" s="10">
        <v>0.06</v>
      </c>
    </row>
    <row r="111" spans="1:17" x14ac:dyDescent="0.35">
      <c r="A111" s="10" t="s">
        <v>1408</v>
      </c>
      <c r="B111" s="10" t="s">
        <v>1557</v>
      </c>
      <c r="C111" s="10" t="s">
        <v>1558</v>
      </c>
      <c r="D111" s="10">
        <v>5</v>
      </c>
      <c r="E111" s="10" t="s">
        <v>1554</v>
      </c>
      <c r="F111" s="10" t="s">
        <v>484</v>
      </c>
      <c r="G111" s="10">
        <v>12800000</v>
      </c>
      <c r="H111" s="10">
        <v>200000</v>
      </c>
      <c r="I111" s="10">
        <v>12900000</v>
      </c>
      <c r="J111" s="10">
        <v>0.02</v>
      </c>
      <c r="K111" s="10">
        <v>7.0000000000000007E-2</v>
      </c>
      <c r="L111" s="10">
        <v>0.1575</v>
      </c>
      <c r="M111" s="10">
        <v>0.225581</v>
      </c>
      <c r="N111" s="10">
        <v>458325</v>
      </c>
      <c r="O111" s="10">
        <v>1</v>
      </c>
      <c r="P111" s="10">
        <v>12900000</v>
      </c>
      <c r="Q111" s="10">
        <v>0.06</v>
      </c>
    </row>
    <row r="112" spans="1:17" x14ac:dyDescent="0.35">
      <c r="A112" s="10" t="s">
        <v>1411</v>
      </c>
      <c r="B112" s="10" t="s">
        <v>403</v>
      </c>
      <c r="C112" s="10" t="s">
        <v>660</v>
      </c>
      <c r="D112" s="10">
        <v>6</v>
      </c>
      <c r="E112" s="10" t="s">
        <v>1554</v>
      </c>
      <c r="F112" s="10" t="s">
        <v>1555</v>
      </c>
      <c r="G112" s="10">
        <v>900000</v>
      </c>
      <c r="H112" s="10">
        <v>1600000</v>
      </c>
      <c r="I112" s="10">
        <v>1700000</v>
      </c>
      <c r="J112" s="10">
        <v>0.04</v>
      </c>
      <c r="K112" s="10">
        <v>0.04</v>
      </c>
      <c r="L112" s="10">
        <v>0.09</v>
      </c>
      <c r="M112" s="10">
        <v>0.20588200000000001</v>
      </c>
      <c r="N112" s="10">
        <v>31500</v>
      </c>
      <c r="O112" s="10">
        <v>1</v>
      </c>
      <c r="P112" s="10">
        <v>1700000</v>
      </c>
      <c r="Q112" s="10">
        <v>7.5999999999999998E-2</v>
      </c>
    </row>
    <row r="113" spans="1:17" x14ac:dyDescent="0.35">
      <c r="A113" s="10" t="s">
        <v>1411</v>
      </c>
      <c r="B113" s="10" t="s">
        <v>403</v>
      </c>
      <c r="C113" s="10" t="s">
        <v>660</v>
      </c>
      <c r="D113" s="10">
        <v>6</v>
      </c>
      <c r="E113" s="10" t="s">
        <v>1554</v>
      </c>
      <c r="F113" s="10" t="s">
        <v>1556</v>
      </c>
      <c r="G113" s="10">
        <v>900000</v>
      </c>
      <c r="H113" s="10">
        <v>1600000</v>
      </c>
      <c r="I113" s="10">
        <v>1700000</v>
      </c>
      <c r="J113" s="10">
        <v>0.04</v>
      </c>
      <c r="K113" s="10">
        <v>7.1999999999999995E-2</v>
      </c>
      <c r="L113" s="10">
        <v>0.16200000000000001</v>
      </c>
      <c r="M113" s="10">
        <v>0.32500000000000001</v>
      </c>
      <c r="N113" s="10">
        <v>89505</v>
      </c>
      <c r="O113" s="10">
        <v>1</v>
      </c>
      <c r="P113" s="10">
        <v>1700000</v>
      </c>
      <c r="Q113" s="10">
        <v>7.5999999999999998E-2</v>
      </c>
    </row>
    <row r="114" spans="1:17" x14ac:dyDescent="0.35">
      <c r="A114" s="10" t="s">
        <v>1411</v>
      </c>
      <c r="B114" s="10" t="s">
        <v>403</v>
      </c>
      <c r="C114" s="10" t="s">
        <v>660</v>
      </c>
      <c r="D114" s="10">
        <v>6</v>
      </c>
      <c r="E114" s="10" t="s">
        <v>1554</v>
      </c>
      <c r="F114" s="10" t="s">
        <v>484</v>
      </c>
      <c r="G114" s="10">
        <v>900000</v>
      </c>
      <c r="H114" s="10">
        <v>1600000</v>
      </c>
      <c r="I114" s="10">
        <v>1700000</v>
      </c>
      <c r="J114" s="10">
        <v>0.04</v>
      </c>
      <c r="K114" s="10">
        <v>0.12</v>
      </c>
      <c r="L114" s="10">
        <v>0.27</v>
      </c>
      <c r="M114" s="10">
        <v>0.44411800000000001</v>
      </c>
      <c r="N114" s="10">
        <v>203850</v>
      </c>
      <c r="O114" s="10">
        <v>1</v>
      </c>
      <c r="P114" s="10">
        <v>1700000</v>
      </c>
      <c r="Q114" s="10">
        <v>7.5999999999999998E-2</v>
      </c>
    </row>
    <row r="115" spans="1:17" x14ac:dyDescent="0.35">
      <c r="A115" s="10" t="s">
        <v>1414</v>
      </c>
      <c r="B115" s="10" t="s">
        <v>403</v>
      </c>
      <c r="C115" s="10" t="s">
        <v>399</v>
      </c>
      <c r="D115" s="10">
        <v>6</v>
      </c>
      <c r="E115" s="10" t="s">
        <v>1554</v>
      </c>
      <c r="F115" s="10" t="s">
        <v>1555</v>
      </c>
      <c r="G115" s="10">
        <v>3000000</v>
      </c>
      <c r="H115" s="10">
        <v>200000</v>
      </c>
      <c r="I115" s="10">
        <v>3100000</v>
      </c>
      <c r="J115" s="10">
        <v>0.04</v>
      </c>
      <c r="K115" s="10">
        <v>0.04</v>
      </c>
      <c r="L115" s="10">
        <v>0.09</v>
      </c>
      <c r="M115" s="10">
        <v>0.45</v>
      </c>
      <c r="N115" s="10">
        <v>125550</v>
      </c>
      <c r="O115" s="10">
        <v>1</v>
      </c>
      <c r="P115" s="10">
        <v>3100000</v>
      </c>
      <c r="Q115" s="10">
        <v>7.4499999999999997E-2</v>
      </c>
    </row>
    <row r="116" spans="1:17" x14ac:dyDescent="0.35">
      <c r="A116" s="10" t="s">
        <v>1414</v>
      </c>
      <c r="B116" s="10" t="s">
        <v>403</v>
      </c>
      <c r="C116" s="10" t="s">
        <v>399</v>
      </c>
      <c r="D116" s="10">
        <v>6</v>
      </c>
      <c r="E116" s="10" t="s">
        <v>1554</v>
      </c>
      <c r="F116" s="10" t="s">
        <v>1556</v>
      </c>
      <c r="G116" s="10">
        <v>3000000</v>
      </c>
      <c r="H116" s="10">
        <v>200000</v>
      </c>
      <c r="I116" s="10">
        <v>3100000</v>
      </c>
      <c r="J116" s="10">
        <v>0.04</v>
      </c>
      <c r="K116" s="10">
        <v>7.1999999999999995E-2</v>
      </c>
      <c r="L116" s="10">
        <v>0.16200000000000001</v>
      </c>
      <c r="M116" s="10">
        <v>0.45</v>
      </c>
      <c r="N116" s="10">
        <v>225990</v>
      </c>
      <c r="O116" s="10">
        <v>1</v>
      </c>
      <c r="P116" s="10">
        <v>3100000</v>
      </c>
      <c r="Q116" s="10">
        <v>7.4499999999999997E-2</v>
      </c>
    </row>
    <row r="117" spans="1:17" x14ac:dyDescent="0.35">
      <c r="A117" s="10" t="s">
        <v>1414</v>
      </c>
      <c r="B117" s="10" t="s">
        <v>403</v>
      </c>
      <c r="C117" s="10" t="s">
        <v>399</v>
      </c>
      <c r="D117" s="10">
        <v>6</v>
      </c>
      <c r="E117" s="10" t="s">
        <v>1554</v>
      </c>
      <c r="F117" s="10" t="s">
        <v>484</v>
      </c>
      <c r="G117" s="10">
        <v>3000000</v>
      </c>
      <c r="H117" s="10">
        <v>200000</v>
      </c>
      <c r="I117" s="10">
        <v>3100000</v>
      </c>
      <c r="J117" s="10">
        <v>0.04</v>
      </c>
      <c r="K117" s="10">
        <v>0.12</v>
      </c>
      <c r="L117" s="10">
        <v>0.27</v>
      </c>
      <c r="M117" s="10">
        <v>0.45</v>
      </c>
      <c r="N117" s="10">
        <v>376650</v>
      </c>
      <c r="O117" s="10">
        <v>1</v>
      </c>
      <c r="P117" s="10">
        <v>3100000</v>
      </c>
      <c r="Q117" s="10">
        <v>7.4499999999999997E-2</v>
      </c>
    </row>
    <row r="118" spans="1:17" x14ac:dyDescent="0.35">
      <c r="A118" s="10" t="s">
        <v>1418</v>
      </c>
      <c r="B118" s="10" t="s">
        <v>403</v>
      </c>
      <c r="C118" s="10" t="s">
        <v>399</v>
      </c>
      <c r="D118" s="10">
        <v>3</v>
      </c>
      <c r="E118" s="10" t="s">
        <v>1554</v>
      </c>
      <c r="F118" s="10" t="s">
        <v>1555</v>
      </c>
      <c r="G118" s="10">
        <v>3800000</v>
      </c>
      <c r="H118" s="10">
        <v>1400000</v>
      </c>
      <c r="I118" s="10">
        <v>4500000</v>
      </c>
      <c r="J118" s="10">
        <v>3.0000000000000001E-3</v>
      </c>
      <c r="K118" s="10">
        <v>3.0000000000000001E-3</v>
      </c>
      <c r="L118" s="10">
        <v>6.7499999999999999E-3</v>
      </c>
      <c r="M118" s="10">
        <v>0.45</v>
      </c>
      <c r="N118" s="10">
        <v>13668.75</v>
      </c>
      <c r="O118" s="10">
        <v>1</v>
      </c>
      <c r="P118" s="10">
        <v>4500000</v>
      </c>
      <c r="Q118" s="10">
        <v>6.5500000000000003E-2</v>
      </c>
    </row>
    <row r="119" spans="1:17" x14ac:dyDescent="0.35">
      <c r="A119" s="10" t="s">
        <v>1418</v>
      </c>
      <c r="B119" s="10" t="s">
        <v>403</v>
      </c>
      <c r="C119" s="10" t="s">
        <v>399</v>
      </c>
      <c r="D119" s="10">
        <v>3</v>
      </c>
      <c r="E119" s="10" t="s">
        <v>1554</v>
      </c>
      <c r="F119" s="10" t="s">
        <v>1556</v>
      </c>
      <c r="G119" s="10">
        <v>3800000</v>
      </c>
      <c r="H119" s="10">
        <v>1400000</v>
      </c>
      <c r="I119" s="10">
        <v>4500000</v>
      </c>
      <c r="J119" s="10">
        <v>3.0000000000000001E-3</v>
      </c>
      <c r="K119" s="10">
        <v>5.4000000000000003E-3</v>
      </c>
      <c r="L119" s="10">
        <v>1.2149999999999999E-2</v>
      </c>
      <c r="M119" s="10">
        <v>0.45</v>
      </c>
      <c r="N119" s="10">
        <v>24603.75</v>
      </c>
      <c r="O119" s="10">
        <v>1</v>
      </c>
      <c r="P119" s="10">
        <v>4500000</v>
      </c>
      <c r="Q119" s="10">
        <v>6.5500000000000003E-2</v>
      </c>
    </row>
    <row r="120" spans="1:17" x14ac:dyDescent="0.35">
      <c r="A120" s="10" t="s">
        <v>1418</v>
      </c>
      <c r="B120" s="10" t="s">
        <v>403</v>
      </c>
      <c r="C120" s="10" t="s">
        <v>399</v>
      </c>
      <c r="D120" s="10">
        <v>3</v>
      </c>
      <c r="E120" s="10" t="s">
        <v>1554</v>
      </c>
      <c r="F120" s="10" t="s">
        <v>484</v>
      </c>
      <c r="G120" s="10">
        <v>3800000</v>
      </c>
      <c r="H120" s="10">
        <v>1400000</v>
      </c>
      <c r="I120" s="10">
        <v>4500000</v>
      </c>
      <c r="J120" s="10">
        <v>3.0000000000000001E-3</v>
      </c>
      <c r="K120" s="10">
        <v>8.9999999999999993E-3</v>
      </c>
      <c r="L120" s="10">
        <v>2.0250000000000001E-2</v>
      </c>
      <c r="M120" s="10">
        <v>0.45</v>
      </c>
      <c r="N120" s="10">
        <v>41006.25</v>
      </c>
      <c r="O120" s="10">
        <v>1</v>
      </c>
      <c r="P120" s="10">
        <v>4500000</v>
      </c>
      <c r="Q120" s="10">
        <v>6.5500000000000003E-2</v>
      </c>
    </row>
    <row r="121" spans="1:17" x14ac:dyDescent="0.35">
      <c r="A121" s="10" t="s">
        <v>1421</v>
      </c>
      <c r="B121" s="10" t="s">
        <v>1557</v>
      </c>
      <c r="C121" s="10" t="s">
        <v>1558</v>
      </c>
      <c r="D121" s="10">
        <v>4</v>
      </c>
      <c r="E121" s="10" t="s">
        <v>1554</v>
      </c>
      <c r="F121" s="10" t="s">
        <v>1555</v>
      </c>
      <c r="G121" s="10">
        <v>8450000</v>
      </c>
      <c r="H121" s="10">
        <v>50000</v>
      </c>
      <c r="I121" s="10">
        <v>8475000</v>
      </c>
      <c r="J121" s="10">
        <v>8.0000000000000002E-3</v>
      </c>
      <c r="K121" s="10">
        <v>8.0000000000000002E-3</v>
      </c>
      <c r="L121" s="10">
        <v>1.7999999999999999E-2</v>
      </c>
      <c r="M121" s="10">
        <v>0.1</v>
      </c>
      <c r="N121" s="10">
        <v>15255</v>
      </c>
      <c r="O121" s="10">
        <v>1</v>
      </c>
      <c r="P121" s="10">
        <v>8475000</v>
      </c>
      <c r="Q121" s="10">
        <v>6.3E-2</v>
      </c>
    </row>
    <row r="122" spans="1:17" x14ac:dyDescent="0.35">
      <c r="A122" s="10" t="s">
        <v>1421</v>
      </c>
      <c r="B122" s="10" t="s">
        <v>1557</v>
      </c>
      <c r="C122" s="10" t="s">
        <v>1558</v>
      </c>
      <c r="D122" s="10">
        <v>4</v>
      </c>
      <c r="E122" s="10" t="s">
        <v>1554</v>
      </c>
      <c r="F122" s="10" t="s">
        <v>1556</v>
      </c>
      <c r="G122" s="10">
        <v>8450000</v>
      </c>
      <c r="H122" s="10">
        <v>50000</v>
      </c>
      <c r="I122" s="10">
        <v>8475000</v>
      </c>
      <c r="J122" s="10">
        <v>8.0000000000000002E-3</v>
      </c>
      <c r="K122" s="10">
        <v>1.6E-2</v>
      </c>
      <c r="L122" s="10">
        <v>3.5999999999999997E-2</v>
      </c>
      <c r="M122" s="10">
        <v>0.1</v>
      </c>
      <c r="N122" s="10">
        <v>30510</v>
      </c>
      <c r="O122" s="10">
        <v>1</v>
      </c>
      <c r="P122" s="10">
        <v>8475000</v>
      </c>
      <c r="Q122" s="10">
        <v>6.3E-2</v>
      </c>
    </row>
    <row r="123" spans="1:17" x14ac:dyDescent="0.35">
      <c r="A123" s="10" t="s">
        <v>1421</v>
      </c>
      <c r="B123" s="10" t="s">
        <v>1557</v>
      </c>
      <c r="C123" s="10" t="s">
        <v>1558</v>
      </c>
      <c r="D123" s="10">
        <v>4</v>
      </c>
      <c r="E123" s="10" t="s">
        <v>1554</v>
      </c>
      <c r="F123" s="10" t="s">
        <v>484</v>
      </c>
      <c r="G123" s="10">
        <v>8450000</v>
      </c>
      <c r="H123" s="10">
        <v>50000</v>
      </c>
      <c r="I123" s="10">
        <v>8475000</v>
      </c>
      <c r="J123" s="10">
        <v>8.0000000000000002E-3</v>
      </c>
      <c r="K123" s="10">
        <v>2.8000000000000001E-2</v>
      </c>
      <c r="L123" s="10">
        <v>6.3E-2</v>
      </c>
      <c r="M123" s="10">
        <v>0.235398</v>
      </c>
      <c r="N123" s="10">
        <v>125685</v>
      </c>
      <c r="O123" s="10">
        <v>1</v>
      </c>
      <c r="P123" s="10">
        <v>8475000</v>
      </c>
      <c r="Q123" s="10">
        <v>6.3E-2</v>
      </c>
    </row>
  </sheetData>
  <autoFilter ref="A3:Q123" xr:uid="{00000000-0009-0000-0000-00001C000000}"/>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16"/>
  <sheetViews>
    <sheetView showGridLines="0" workbookViewId="0"/>
  </sheetViews>
  <sheetFormatPr defaultRowHeight="14.5" x14ac:dyDescent="0.35"/>
  <cols>
    <col min="1" max="1" width="30" customWidth="1"/>
    <col min="2" max="4" width="18" customWidth="1"/>
  </cols>
  <sheetData>
    <row r="1" spans="1:4" x14ac:dyDescent="0.35">
      <c r="A1" s="9" t="s">
        <v>1562</v>
      </c>
    </row>
    <row r="3" spans="1:4" x14ac:dyDescent="0.35">
      <c r="A3" s="11" t="s">
        <v>1563</v>
      </c>
      <c r="B3" s="11" t="s">
        <v>1555</v>
      </c>
      <c r="C3" s="11" t="s">
        <v>1556</v>
      </c>
      <c r="D3" s="11" t="s">
        <v>484</v>
      </c>
    </row>
    <row r="4" spans="1:4" x14ac:dyDescent="0.35">
      <c r="A4" s="12" t="s">
        <v>1564</v>
      </c>
      <c r="B4" s="13">
        <f>SUMIFS('Expected Results'!$I$4:$I$123,'Expected Results'!$F$4:$F$123,"BASE")</f>
        <v>312400000</v>
      </c>
      <c r="C4" s="13">
        <f>SUMIFS('Expected Results'!$I$4:$I$123,'Expected Results'!$F$4:$F$123,"MOD")</f>
        <v>312400000</v>
      </c>
      <c r="D4" s="13">
        <f>SUMIFS('Expected Results'!$I$4:$I$123,'Expected Results'!$F$4:$F$123,"SEV")</f>
        <v>312400000</v>
      </c>
    </row>
    <row r="5" spans="1:4" x14ac:dyDescent="0.35">
      <c r="A5" s="12" t="s">
        <v>1565</v>
      </c>
      <c r="B5" s="13">
        <f>SUMIFS('Expected Results'!$P$4:$P$123,'Expected Results'!$F$4:$F$123,"BASE")</f>
        <v>323637500</v>
      </c>
      <c r="C5" s="13">
        <f>SUMIFS('Expected Results'!$P$4:$P$123,'Expected Results'!$F$4:$F$123,"MOD")</f>
        <v>323637500</v>
      </c>
      <c r="D5" s="13">
        <f>SUMIFS('Expected Results'!$P$4:$P$123,'Expected Results'!$F$4:$F$123,"SEV")</f>
        <v>323637500</v>
      </c>
    </row>
    <row r="6" spans="1:4" x14ac:dyDescent="0.35">
      <c r="A6" s="12" t="s">
        <v>1566</v>
      </c>
      <c r="B6" s="13">
        <f>SUMIFS('Expected Results'!$N$4:$N$123,'Expected Results'!$F$4:$F$123,"BASE",'Expected Results'!$B$4:$B$123,"CI")</f>
        <v>4599843.74</v>
      </c>
      <c r="C6" s="13">
        <f>SUMIFS('Expected Results'!$N$4:$N$123,'Expected Results'!$F$4:$F$123,"MOD",'Expected Results'!$B$4:$B$123,"CI")</f>
        <v>7634936.2599999998</v>
      </c>
      <c r="D6" s="13">
        <f>SUMIFS('Expected Results'!$N$4:$N$123,'Expected Results'!$F$4:$F$123,"SEV",'Expected Results'!$B$4:$B$123,"CI")</f>
        <v>12105646.879999999</v>
      </c>
    </row>
    <row r="7" spans="1:4" x14ac:dyDescent="0.35">
      <c r="A7" s="12" t="s">
        <v>1567</v>
      </c>
      <c r="B7" s="13">
        <f>SUMIFS('Expected Results'!$N$4:$N$123,'Expected Results'!$F$4:$F$123,"BASE",'Expected Results'!$B$4:$B$123,"CRE")</f>
        <v>1917080</v>
      </c>
      <c r="C7" s="13">
        <f>SUMIFS('Expected Results'!$N$4:$N$123,'Expected Results'!$F$4:$F$123,"MOD",'Expected Results'!$B$4:$B$123,"CRE")</f>
        <v>4227560</v>
      </c>
      <c r="D7" s="13">
        <f>SUMIFS('Expected Results'!$N$4:$N$123,'Expected Results'!$F$4:$F$123,"SEV",'Expected Results'!$B$4:$B$123,"CRE")</f>
        <v>12074406.879999999</v>
      </c>
    </row>
    <row r="8" spans="1:4" x14ac:dyDescent="0.35">
      <c r="A8" s="12" t="s">
        <v>1568</v>
      </c>
      <c r="B8" s="13">
        <f>SUMIFS('Expected Results'!$N$4:$N$123,'Expected Results'!$F$4:$F$123,"BASE")</f>
        <v>6516923.7400000002</v>
      </c>
      <c r="C8" s="13">
        <f>SUMIFS('Expected Results'!$N$4:$N$123,'Expected Results'!$F$4:$F$123,"MOD")</f>
        <v>11862496.26</v>
      </c>
      <c r="D8" s="13">
        <f>SUMIFS('Expected Results'!$N$4:$N$123,'Expected Results'!$F$4:$F$123,"SEV")</f>
        <v>24180053.759999998</v>
      </c>
    </row>
    <row r="9" spans="1:4" x14ac:dyDescent="0.35">
      <c r="A9" s="12" t="s">
        <v>1569</v>
      </c>
      <c r="B9" s="14">
        <f>IFERROR(B8/B4,0)</f>
        <v>2.08608314340589E-2</v>
      </c>
      <c r="C9" s="14">
        <f>IFERROR(C8/C4,0)</f>
        <v>3.7972139116517284E-2</v>
      </c>
      <c r="D9" s="14">
        <f>IFERROR(D8/D4,0)</f>
        <v>7.7400940332906523E-2</v>
      </c>
    </row>
    <row r="10" spans="1:4" x14ac:dyDescent="0.35">
      <c r="A10" s="12"/>
      <c r="B10" s="13"/>
      <c r="C10" s="13"/>
      <c r="D10" s="13"/>
    </row>
    <row r="11" spans="1:4" x14ac:dyDescent="0.35">
      <c r="A11" s="12" t="s">
        <v>1570</v>
      </c>
      <c r="B11" s="13">
        <f>COUNTIF('Expected Results'!$F$4:$F$123,"BASE")</f>
        <v>40</v>
      </c>
      <c r="C11" s="13">
        <f>COUNTIF('Expected Results'!$F$4:$F$123,"MOD")</f>
        <v>40</v>
      </c>
      <c r="D11" s="13">
        <f>COUNTIF('Expected Results'!$F$4:$F$123,"SEV")</f>
        <v>40</v>
      </c>
    </row>
    <row r="13" spans="1:4" x14ac:dyDescent="0.35">
      <c r="A13" s="9" t="s">
        <v>1571</v>
      </c>
    </row>
    <row r="14" spans="1:4" x14ac:dyDescent="0.35">
      <c r="A14" s="12" t="s">
        <v>1572</v>
      </c>
      <c r="B14" s="15">
        <v>12998025</v>
      </c>
      <c r="C14" s="15">
        <v>11048321</v>
      </c>
      <c r="D14" s="15">
        <v>7798815</v>
      </c>
    </row>
    <row r="15" spans="1:4" x14ac:dyDescent="0.35">
      <c r="A15" s="12" t="s">
        <v>1573</v>
      </c>
      <c r="B15" s="15">
        <v>61020070</v>
      </c>
      <c r="C15" s="15">
        <v>55256802</v>
      </c>
      <c r="D15" s="15">
        <v>42958821</v>
      </c>
    </row>
    <row r="16" spans="1:4" x14ac:dyDescent="0.35">
      <c r="A16" s="12" t="s">
        <v>1574</v>
      </c>
      <c r="B16" s="16">
        <v>0.1212</v>
      </c>
      <c r="C16" s="16">
        <v>0.10970000000000001</v>
      </c>
      <c r="D16" s="16">
        <v>8.5300000000000001E-2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Index</vt:lpstr>
      <vt:lpstr>Requirements</vt:lpstr>
      <vt:lpstr>User Stories</vt:lpstr>
      <vt:lpstr>Test Scenarios</vt:lpstr>
      <vt:lpstr>Tables Overview</vt:lpstr>
      <vt:lpstr>Data Dictionary</vt:lpstr>
      <vt:lpstr>Mapping (M01-M16)</vt:lpstr>
      <vt:lpstr>Code Map</vt:lpstr>
      <vt:lpstr>Seeded Defects</vt:lpstr>
      <vt:lpstr>DQ Dimensions</vt:lpstr>
      <vt:lpstr>DQ Rules</vt:lpstr>
      <vt:lpstr>DQ Exception Workflow</vt:lpstr>
      <vt:lpstr>Recon Checks</vt:lpstr>
      <vt:lpstr>Recon Bridge</vt:lpstr>
      <vt:lpstr>Controls</vt:lpstr>
      <vt:lpstr>Scenarios</vt:lpstr>
      <vt:lpstr>Parameters</vt:lpstr>
      <vt:lpstr>Worked Examples</vt:lpstr>
      <vt:lpstr>Report R1 Fields</vt:lpstr>
      <vt:lpstr>Report R2 Lines</vt:lpstr>
      <vt:lpstr>Edit Checks</vt:lpstr>
      <vt:lpstr>Report Recon Rules</vt:lpstr>
      <vt:lpstr>Data - Customer</vt:lpstr>
      <vt:lpstr>Data - Loan</vt:lpstr>
      <vt:lpstr>Data - Balance</vt:lpstr>
      <vt:lpstr>Data - Status</vt:lpstr>
      <vt:lpstr>Data - Collateral</vt:lpstr>
      <vt:lpstr>Data - GL Control</vt:lpstr>
      <vt:lpstr>Expected Results</vt:lpstr>
      <vt:lpstr>Expected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Aditya Kumar</cp:lastModifiedBy>
  <dcterms:created xsi:type="dcterms:W3CDTF">2026-09-26T14:44:47Z</dcterms:created>
  <dcterms:modified xsi:type="dcterms:W3CDTF">2026-09-26T14:44:50Z</dcterms:modified>
</cp:coreProperties>
</file>